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CBV\Team mega\WK 2026\WK 2026\betaald\"/>
    </mc:Choice>
  </mc:AlternateContent>
  <xr:revisionPtr revIDLastSave="0" documentId="13_ncr:1_{C096FEBD-7158-4074-A5F5-765EE328ABC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81" l="1"/>
  <c r="I56" i="81"/>
  <c r="G21" i="81"/>
  <c r="E37" i="81"/>
  <c r="E21" i="81"/>
  <c r="E56" i="81"/>
  <c r="B21" i="81"/>
  <c r="B56" i="81"/>
  <c r="I20" i="81"/>
  <c r="I55" i="81"/>
  <c r="G20" i="81"/>
  <c r="G55" i="81"/>
  <c r="E20" i="81"/>
  <c r="E55" i="81"/>
  <c r="B20" i="81"/>
  <c r="G34" i="81"/>
  <c r="I19" i="81"/>
  <c r="G31" i="81"/>
  <c r="G19" i="81"/>
  <c r="G54" i="81"/>
  <c r="E19" i="81"/>
  <c r="G30" i="81"/>
  <c r="B19" i="81"/>
  <c r="B54" i="81"/>
  <c r="I18" i="81"/>
  <c r="E31" i="81"/>
  <c r="G18" i="81"/>
  <c r="G37" i="81"/>
  <c r="E18" i="81"/>
  <c r="E30" i="81"/>
  <c r="B18" i="81"/>
  <c r="E34" i="81"/>
  <c r="I15" i="81"/>
  <c r="I50" i="81"/>
  <c r="G15" i="81"/>
  <c r="G50" i="81"/>
  <c r="E15" i="81"/>
  <c r="E50" i="81"/>
  <c r="B15" i="81"/>
  <c r="B50" i="81"/>
  <c r="I14" i="81"/>
  <c r="I49" i="81"/>
  <c r="G14" i="81"/>
  <c r="G33" i="81"/>
  <c r="E14" i="81"/>
  <c r="G32" i="81"/>
  <c r="B14" i="81"/>
  <c r="G36" i="81"/>
  <c r="I13" i="81"/>
  <c r="I48" i="81"/>
  <c r="G13" i="81"/>
  <c r="G48" i="81"/>
  <c r="E13" i="81"/>
  <c r="E48" i="81"/>
  <c r="B13" i="81"/>
  <c r="E36" i="81"/>
  <c r="I12" i="81"/>
  <c r="I47" i="81"/>
  <c r="G12" i="81"/>
  <c r="E33" i="81"/>
  <c r="E12" i="81"/>
  <c r="E32" i="81"/>
  <c r="B12" i="81"/>
  <c r="E29" i="81"/>
  <c r="I9" i="81"/>
  <c r="I44" i="81"/>
  <c r="G9" i="81"/>
  <c r="G44" i="81"/>
  <c r="E9" i="81"/>
  <c r="E44" i="81"/>
  <c r="B9" i="81"/>
  <c r="B44" i="81"/>
  <c r="I8" i="81"/>
  <c r="I43" i="81"/>
  <c r="G8" i="81"/>
  <c r="G43" i="81"/>
  <c r="E8" i="81"/>
  <c r="E43" i="81"/>
  <c r="B8" i="81"/>
  <c r="B43" i="81"/>
  <c r="I7" i="81"/>
  <c r="I42" i="81"/>
  <c r="G7" i="81"/>
  <c r="G42" i="81"/>
  <c r="E7" i="81"/>
  <c r="E42" i="81"/>
  <c r="B7" i="81"/>
  <c r="B42" i="81"/>
  <c r="I6" i="81"/>
  <c r="I41" i="81"/>
  <c r="G6" i="81"/>
  <c r="G41" i="81"/>
  <c r="E6" i="81"/>
  <c r="E41" i="81"/>
  <c r="B6" i="81"/>
  <c r="B41" i="81"/>
  <c r="B53" i="8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<sst xmlns="http://schemas.openxmlformats.org/spreadsheetml/2006/main" count="358" uniqueCount="179">
  <si>
    <t>Waterproef - WK 2026 Invulformulier</t>
  </si>
  <si>
    <t>Ingevuld door:</t>
  </si>
  <si>
    <t>Groepen</t>
  </si>
  <si>
    <t>Poule</t>
  </si>
  <si>
    <t>Draaitabel</t>
  </si>
  <si>
    <t>A</t>
  </si>
  <si>
    <t>B</t>
  </si>
  <si>
    <t>C</t>
  </si>
  <si>
    <t>D</t>
  </si>
  <si>
    <t>Mexico</t>
  </si>
  <si>
    <t>Algerije</t>
  </si>
  <si>
    <t>Zuid-Afrika</t>
  </si>
  <si>
    <t>Argentinië</t>
  </si>
  <si>
    <t>Zuid-Korea</t>
  </si>
  <si>
    <t>Australië</t>
  </si>
  <si>
    <t>Tsjechië</t>
  </si>
  <si>
    <t>België</t>
  </si>
  <si>
    <t>Canada</t>
  </si>
  <si>
    <t>Bosnië-Herzegovina</t>
  </si>
  <si>
    <t>Brazilië</t>
  </si>
  <si>
    <t>E</t>
  </si>
  <si>
    <t>F</t>
  </si>
  <si>
    <t>G</t>
  </si>
  <si>
    <t>H</t>
  </si>
  <si>
    <t>Qatar</t>
  </si>
  <si>
    <t>Zwitserland</t>
  </si>
  <si>
    <t>Colombia</t>
  </si>
  <si>
    <t>Curaçao</t>
  </si>
  <si>
    <t>Marokko</t>
  </si>
  <si>
    <t>DR Congo</t>
  </si>
  <si>
    <t>Haïti</t>
  </si>
  <si>
    <t>Duitsland</t>
  </si>
  <si>
    <t>Schotland</t>
  </si>
  <si>
    <t>Ecuador</t>
  </si>
  <si>
    <t>I</t>
  </si>
  <si>
    <t>J</t>
  </si>
  <si>
    <t>K</t>
  </si>
  <si>
    <t>L</t>
  </si>
  <si>
    <t>Verenigde Staten</t>
  </si>
  <si>
    <t>Egypte</t>
  </si>
  <si>
    <t>Paraguay</t>
  </si>
  <si>
    <t>Engeland</t>
  </si>
  <si>
    <t>Frankrijk</t>
  </si>
  <si>
    <t>Turkije</t>
  </si>
  <si>
    <t>Ghana</t>
  </si>
  <si>
    <t>Irak</t>
  </si>
  <si>
    <t>Wedstrijden in de groepen (Vul hier voor elke wedstrijd de uitslag in)</t>
  </si>
  <si>
    <t>Ivoorkust</t>
  </si>
  <si>
    <t>Iran</t>
  </si>
  <si>
    <t>Uitslag</t>
  </si>
  <si>
    <t>-</t>
  </si>
  <si>
    <t>Nederland</t>
  </si>
  <si>
    <t>Japan</t>
  </si>
  <si>
    <t>Jordanië</t>
  </si>
  <si>
    <t>Zweden</t>
  </si>
  <si>
    <t>Kaapverdië</t>
  </si>
  <si>
    <t>Tunesië</t>
  </si>
  <si>
    <t>Kroatië</t>
  </si>
  <si>
    <t>Nieuw-Zeeland</t>
  </si>
  <si>
    <t>Spanje</t>
  </si>
  <si>
    <t>Noorwegen</t>
  </si>
  <si>
    <t>Oezbekistan</t>
  </si>
  <si>
    <t>Saoedi-Arabië</t>
  </si>
  <si>
    <t>Oostenrijk</t>
  </si>
  <si>
    <t>Uruguay</t>
  </si>
  <si>
    <t>Panama</t>
  </si>
  <si>
    <t>Senegal</t>
  </si>
  <si>
    <t>Portugal</t>
  </si>
  <si>
    <t>Eindstanden in de groepen (Vul hier voor elk land de eindplaatsing in)</t>
  </si>
  <si>
    <t>Plaats</t>
  </si>
  <si>
    <t>Zestiende finales (Vul hier voor elke wedstrijd het land dat wint in)</t>
  </si>
  <si>
    <t>Land</t>
  </si>
  <si>
    <t>A2</t>
  </si>
  <si>
    <t>mexico</t>
  </si>
  <si>
    <t>B2</t>
  </si>
  <si>
    <t>Winnaar (1)      =</t>
  </si>
  <si>
    <t>C1</t>
  </si>
  <si>
    <t>F2</t>
  </si>
  <si>
    <t>Winnaar (2)      =</t>
  </si>
  <si>
    <t>E1</t>
  </si>
  <si>
    <t>3 A/B/C/D/F</t>
  </si>
  <si>
    <t>Winnaar (3)      =</t>
  </si>
  <si>
    <t>F1</t>
  </si>
  <si>
    <t>C2</t>
  </si>
  <si>
    <t>Winnaar (4)      =</t>
  </si>
  <si>
    <t>E2</t>
  </si>
  <si>
    <t>I2</t>
  </si>
  <si>
    <t>Winnaar (5)      =</t>
  </si>
  <si>
    <t>I1</t>
  </si>
  <si>
    <t>3 C/D/F/G/H</t>
  </si>
  <si>
    <t>Winnaar (6)      =</t>
  </si>
  <si>
    <t>A1</t>
  </si>
  <si>
    <t>3 C/E/F/H/I</t>
  </si>
  <si>
    <t>Winnaar (7)      =</t>
  </si>
  <si>
    <t>L1</t>
  </si>
  <si>
    <t>3 E/H/I/J/K</t>
  </si>
  <si>
    <t>Winnaar (8)      =</t>
  </si>
  <si>
    <t>G1</t>
  </si>
  <si>
    <t>3 A/E/H/I/J</t>
  </si>
  <si>
    <t>Winnaar (9)      =</t>
  </si>
  <si>
    <t>D1</t>
  </si>
  <si>
    <t>3 B/E/F/I/J</t>
  </si>
  <si>
    <t>Winnaar (10)      =</t>
  </si>
  <si>
    <t>H1</t>
  </si>
  <si>
    <t>J2</t>
  </si>
  <si>
    <t>Winnaar (11)      =</t>
  </si>
  <si>
    <t>K2</t>
  </si>
  <si>
    <t>L2</t>
  </si>
  <si>
    <t>Winnaar (12)      =</t>
  </si>
  <si>
    <t>B1</t>
  </si>
  <si>
    <t>3 E/F/G/I/J</t>
  </si>
  <si>
    <t>Winnaar (13)      =</t>
  </si>
  <si>
    <t>D2</t>
  </si>
  <si>
    <t>G2</t>
  </si>
  <si>
    <t>Winnaar (14)      =</t>
  </si>
  <si>
    <t>J1</t>
  </si>
  <si>
    <t>H2</t>
  </si>
  <si>
    <t>Winnaar (15)      =</t>
  </si>
  <si>
    <t>K1</t>
  </si>
  <si>
    <t>3 D/E/I/J/L</t>
  </si>
  <si>
    <t>Winnaar (16)      =</t>
  </si>
  <si>
    <t>Achtste finales (Vul hier voor elke wedstrijd het land dat wint in)</t>
  </si>
  <si>
    <t>W1</t>
  </si>
  <si>
    <t>W4</t>
  </si>
  <si>
    <t>Winnaar (17)      =</t>
  </si>
  <si>
    <t>W3</t>
  </si>
  <si>
    <t>W6</t>
  </si>
  <si>
    <t>Winnaar (18)      =</t>
  </si>
  <si>
    <t>W2</t>
  </si>
  <si>
    <t>W5</t>
  </si>
  <si>
    <t>Winnaar (19)      =</t>
  </si>
  <si>
    <t>W7</t>
  </si>
  <si>
    <t>W8</t>
  </si>
  <si>
    <t>Winnaar (20)      =</t>
  </si>
  <si>
    <t>W12</t>
  </si>
  <si>
    <t>W11</t>
  </si>
  <si>
    <t>Winnaar (21)      =</t>
  </si>
  <si>
    <t>W10</t>
  </si>
  <si>
    <t>W9</t>
  </si>
  <si>
    <t>Winnaar (22)      =</t>
  </si>
  <si>
    <t>W15</t>
  </si>
  <si>
    <t>W14</t>
  </si>
  <si>
    <t>Winnaar (23)      =</t>
  </si>
  <si>
    <t>W13</t>
  </si>
  <si>
    <t>W16</t>
  </si>
  <si>
    <t>Winnaar (24)      =</t>
  </si>
  <si>
    <t>Kwart finales (Vul hier voor elke wedstrijd het land dat wint in)</t>
  </si>
  <si>
    <t>(W18)</t>
  </si>
  <si>
    <t>(W17)</t>
  </si>
  <si>
    <t>Winnaar (25)        =</t>
  </si>
  <si>
    <t>(W21)</t>
  </si>
  <si>
    <t>(W22)</t>
  </si>
  <si>
    <t>Winnaar (26)      =</t>
  </si>
  <si>
    <t>(W19)</t>
  </si>
  <si>
    <t>(W20)</t>
  </si>
  <si>
    <t>Winnaar (27)      =</t>
  </si>
  <si>
    <t>(W23)</t>
  </si>
  <si>
    <t>(W24)</t>
  </si>
  <si>
    <t>Winnaar (28)      =</t>
  </si>
  <si>
    <t>Halve finales (Vul hier voor elke wedstrijd het land dat wint in)</t>
  </si>
  <si>
    <t>(W25)</t>
  </si>
  <si>
    <t>(W26)</t>
  </si>
  <si>
    <t>Winnaar (29)      =</t>
  </si>
  <si>
    <t>(W27)</t>
  </si>
  <si>
    <t>(W28)</t>
  </si>
  <si>
    <t>Winnaar (30)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</si>
  <si>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</si>
  <si>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</si>
  <si>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</si>
  <si>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</si>
  <si>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</si>
  <si>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</si>
  <si>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</si>
  <si>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</si>
  <si>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</si>
  <si>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</si>
  <si>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</si>
  <si>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Guus</t>
  </si>
  <si>
    <t>mbappe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</si>
</sst>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14"/>
  <sheetViews>
    <sheetView tabSelected="1" topLeftCell="A67" zoomScale="85" zoomScaleNormal="85" workbookViewId="0">
      <selection activeCell="F110" sqref="F110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0</v>
      </c>
      <c r="C2" s="66"/>
      <c r="D2" s="66"/>
      <c r="E2" s="67"/>
      <c r="F2" s="9"/>
      <c r="G2" s="12" t="s">
        <v>1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2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3</v>
      </c>
      <c r="O4" s="16" t="s">
        <v>4</v>
      </c>
    </row>
    <row r="5" spans="1:15" s="15" customFormat="1" ht="15.75" thickTop="1" x14ac:dyDescent="0.25">
      <c r="A5" s="9"/>
      <c r="B5" s="57" t="s">
        <v>5</v>
      </c>
      <c r="C5" s="57"/>
      <c r="D5" s="57"/>
      <c r="E5" s="57" t="s">
        <v>6</v>
      </c>
      <c r="F5" s="57"/>
      <c r="G5" s="57" t="s">
        <v>7</v>
      </c>
      <c r="H5" s="57"/>
      <c r="I5" s="57" t="s">
        <v>8</v>
      </c>
      <c r="J5" s="57"/>
      <c r="K5" s="57"/>
      <c r="L5" s="57"/>
      <c r="M5" s="17"/>
      <c r="N5" s="18" t="s">
        <v>9</v>
      </c>
      <c r="O5" s="19" t="s">
        <v>10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11</v>
      </c>
      <c r="O6" s="19" t="s">
        <v>12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13</v>
      </c>
      <c r="O7" s="19" t="s">
        <v>14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15</v>
      </c>
      <c r="O8" s="19" t="s">
        <v>16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17</v>
      </c>
      <c r="O9" s="19" t="s">
        <v>18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18</v>
      </c>
      <c r="O10" s="19" t="s">
        <v>19</v>
      </c>
    </row>
    <row r="11" spans="1:15" s="15" customFormat="1" ht="15.75" thickTop="1" x14ac:dyDescent="0.25">
      <c r="A11" s="9"/>
      <c r="B11" s="57" t="s">
        <v>20</v>
      </c>
      <c r="C11" s="57"/>
      <c r="D11" s="57"/>
      <c r="E11" s="57" t="s">
        <v>21</v>
      </c>
      <c r="F11" s="57"/>
      <c r="G11" s="57" t="s">
        <v>22</v>
      </c>
      <c r="H11" s="57"/>
      <c r="I11" s="57" t="s">
        <v>23</v>
      </c>
      <c r="J11" s="57"/>
      <c r="K11" s="57"/>
      <c r="L11" s="57"/>
      <c r="M11" s="11"/>
      <c r="N11" s="21" t="s">
        <v>24</v>
      </c>
      <c r="O11" s="19" t="s">
        <v>17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25</v>
      </c>
      <c r="O12" s="19" t="s">
        <v>26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19</v>
      </c>
      <c r="O13" s="19" t="s">
        <v>27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28</v>
      </c>
      <c r="O14" s="19" t="s">
        <v>29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30</v>
      </c>
      <c r="O15" s="19" t="s">
        <v>31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32</v>
      </c>
      <c r="O16" s="19" t="s">
        <v>33</v>
      </c>
    </row>
    <row r="17" spans="1:15" s="15" customFormat="1" ht="15.75" thickTop="1" x14ac:dyDescent="0.25">
      <c r="A17" s="9"/>
      <c r="B17" s="57" t="s">
        <v>34</v>
      </c>
      <c r="C17" s="57"/>
      <c r="D17" s="57"/>
      <c r="E17" s="57" t="s">
        <v>35</v>
      </c>
      <c r="F17" s="57"/>
      <c r="G17" s="57" t="s">
        <v>36</v>
      </c>
      <c r="H17" s="57"/>
      <c r="I17" s="57" t="s">
        <v>37</v>
      </c>
      <c r="J17" s="57"/>
      <c r="K17" s="57"/>
      <c r="L17" s="57"/>
      <c r="M17" s="10"/>
      <c r="N17" s="21" t="s">
        <v>38</v>
      </c>
      <c r="O17" s="19" t="s">
        <v>39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40</v>
      </c>
      <c r="O18" s="19" t="s">
        <v>41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14</v>
      </c>
      <c r="O19" s="19" t="s">
        <v>42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43</v>
      </c>
      <c r="O20" s="19" t="s">
        <v>44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31</v>
      </c>
      <c r="O21" s="19" t="s">
        <v>30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27</v>
      </c>
      <c r="O22" s="19" t="s">
        <v>45</v>
      </c>
    </row>
    <row r="23" spans="1:15" s="15" customFormat="1" ht="15" x14ac:dyDescent="0.25">
      <c r="A23" s="9"/>
      <c r="B23" s="23" t="s">
        <v>46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47</v>
      </c>
      <c r="O23" s="19" t="s">
        <v>48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49</v>
      </c>
      <c r="I24" s="74"/>
      <c r="J24" s="75"/>
      <c r="K24" s="10"/>
      <c r="L24" s="10"/>
      <c r="M24" s="10"/>
      <c r="N24" s="21" t="s">
        <v>33</v>
      </c>
      <c r="O24" s="19" t="s">
        <v>47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50</v>
      </c>
      <c r="G25" s="28" t="str">
        <f>B7</f>
        <v>Zuid-Afrika</v>
      </c>
      <c r="H25" s="1">
        <v>2</v>
      </c>
      <c r="I25" s="29" t="s">
        <v>50</v>
      </c>
      <c r="J25" s="3">
        <v>1</v>
      </c>
      <c r="K25" s="10"/>
      <c r="L25" s="10"/>
      <c r="M25" s="10"/>
      <c r="N25" s="21" t="s">
        <v>51</v>
      </c>
      <c r="O25" s="19" t="s">
        <v>52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50</v>
      </c>
      <c r="G26" s="28" t="str">
        <f>I7</f>
        <v>Paraguay</v>
      </c>
      <c r="H26" s="2">
        <v>2</v>
      </c>
      <c r="I26" s="30" t="s">
        <v>50</v>
      </c>
      <c r="J26" s="4">
        <v>1</v>
      </c>
      <c r="K26" s="10"/>
      <c r="L26" s="10"/>
      <c r="M26" s="10"/>
      <c r="N26" s="21" t="s">
        <v>52</v>
      </c>
      <c r="O26" s="19" t="s">
        <v>53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50</v>
      </c>
      <c r="G27" s="28" t="str">
        <f>I9</f>
        <v>Turkije</v>
      </c>
      <c r="H27" s="2">
        <v>0</v>
      </c>
      <c r="I27" s="30" t="s">
        <v>50</v>
      </c>
      <c r="J27" s="4">
        <v>2</v>
      </c>
      <c r="K27" s="10"/>
      <c r="L27" s="10"/>
      <c r="M27" s="10"/>
      <c r="N27" s="21" t="s">
        <v>54</v>
      </c>
      <c r="O27" s="19" t="s">
        <v>55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50</v>
      </c>
      <c r="G28" s="32" t="str">
        <f>E13</f>
        <v>Japan</v>
      </c>
      <c r="H28" s="2">
        <v>2</v>
      </c>
      <c r="I28" s="30" t="s">
        <v>50</v>
      </c>
      <c r="J28" s="4">
        <v>1</v>
      </c>
      <c r="K28" s="10"/>
      <c r="L28" s="10"/>
      <c r="M28" s="10"/>
      <c r="N28" s="21" t="s">
        <v>56</v>
      </c>
      <c r="O28" s="19" t="s">
        <v>57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50</v>
      </c>
      <c r="G29" s="32" t="str">
        <f>B13</f>
        <v>Curaçao</v>
      </c>
      <c r="H29" s="2">
        <v>4</v>
      </c>
      <c r="I29" s="30" t="s">
        <v>50</v>
      </c>
      <c r="J29" s="4">
        <v>0</v>
      </c>
      <c r="K29" s="10"/>
      <c r="L29" s="10"/>
      <c r="M29" s="10"/>
      <c r="N29" s="21" t="s">
        <v>16</v>
      </c>
      <c r="O29" s="19" t="s">
        <v>28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50</v>
      </c>
      <c r="G30" s="32" t="str">
        <f>E19</f>
        <v>Algerije</v>
      </c>
      <c r="H30" s="2">
        <v>3</v>
      </c>
      <c r="I30" s="30" t="s">
        <v>50</v>
      </c>
      <c r="J30" s="4">
        <v>0</v>
      </c>
      <c r="K30" s="10"/>
      <c r="L30" s="10"/>
      <c r="M30" s="10"/>
      <c r="N30" s="21" t="s">
        <v>39</v>
      </c>
      <c r="O30" s="34" t="s">
        <v>9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50</v>
      </c>
      <c r="G31" s="32" t="str">
        <f>I19</f>
        <v>Kroatië</v>
      </c>
      <c r="H31" s="2">
        <v>2</v>
      </c>
      <c r="I31" s="30" t="s">
        <v>50</v>
      </c>
      <c r="J31" s="4">
        <v>1</v>
      </c>
      <c r="K31" s="10"/>
      <c r="L31" s="10"/>
      <c r="M31" s="10"/>
      <c r="N31" s="21" t="s">
        <v>48</v>
      </c>
      <c r="O31" s="19" t="s">
        <v>51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50</v>
      </c>
      <c r="G32" s="32" t="str">
        <f>E14</f>
        <v>Zweden</v>
      </c>
      <c r="H32" s="2">
        <v>2</v>
      </c>
      <c r="I32" s="30" t="s">
        <v>50</v>
      </c>
      <c r="J32" s="4">
        <v>0</v>
      </c>
      <c r="K32" s="10"/>
      <c r="L32" s="10"/>
      <c r="M32" s="10"/>
      <c r="N32" s="21" t="s">
        <v>58</v>
      </c>
      <c r="O32" s="19" t="s">
        <v>58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50</v>
      </c>
      <c r="G33" s="32" t="str">
        <f>G14</f>
        <v>Iran</v>
      </c>
      <c r="H33" s="2">
        <v>2</v>
      </c>
      <c r="I33" s="30" t="s">
        <v>50</v>
      </c>
      <c r="J33" s="4">
        <v>0</v>
      </c>
      <c r="K33" s="10"/>
      <c r="L33" s="10"/>
      <c r="M33" s="10"/>
      <c r="N33" s="21" t="s">
        <v>59</v>
      </c>
      <c r="O33" s="19" t="s">
        <v>60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50</v>
      </c>
      <c r="G34" s="32" t="str">
        <f>B20</f>
        <v>Irak</v>
      </c>
      <c r="H34" s="2">
        <v>3</v>
      </c>
      <c r="I34" s="30" t="s">
        <v>50</v>
      </c>
      <c r="J34" s="4">
        <v>0</v>
      </c>
      <c r="K34" s="10"/>
      <c r="L34" s="10"/>
      <c r="M34" s="10"/>
      <c r="N34" s="21" t="s">
        <v>55</v>
      </c>
      <c r="O34" s="19" t="s">
        <v>61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50</v>
      </c>
      <c r="G35" s="32" t="str">
        <f>E12</f>
        <v>Nederland</v>
      </c>
      <c r="H35" s="2">
        <v>1</v>
      </c>
      <c r="I35" s="30" t="s">
        <v>50</v>
      </c>
      <c r="J35" s="4">
        <v>2</v>
      </c>
      <c r="K35" s="10"/>
      <c r="L35" s="10"/>
      <c r="M35" s="10"/>
      <c r="N35" s="21" t="s">
        <v>62</v>
      </c>
      <c r="O35" s="19" t="s">
        <v>63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50</v>
      </c>
      <c r="G36" s="32" t="str">
        <f>B14</f>
        <v>Ivoorkust</v>
      </c>
      <c r="H36" s="2">
        <v>0</v>
      </c>
      <c r="I36" s="30" t="s">
        <v>50</v>
      </c>
      <c r="J36" s="4">
        <v>2</v>
      </c>
      <c r="K36" s="10"/>
      <c r="L36" s="10"/>
      <c r="M36" s="10"/>
      <c r="N36" s="21" t="s">
        <v>64</v>
      </c>
      <c r="O36" s="19" t="s">
        <v>65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50</v>
      </c>
      <c r="G37" s="32" t="str">
        <f>G18</f>
        <v>Portugal</v>
      </c>
      <c r="H37" s="2">
        <v>0</v>
      </c>
      <c r="I37" s="30" t="s">
        <v>50</v>
      </c>
      <c r="J37" s="4">
        <v>3</v>
      </c>
      <c r="K37" s="10"/>
      <c r="L37" s="10"/>
      <c r="M37" s="10"/>
      <c r="N37" s="21" t="s">
        <v>42</v>
      </c>
      <c r="O37" s="19" t="s">
        <v>40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66</v>
      </c>
      <c r="O38" s="19" t="s">
        <v>67</v>
      </c>
    </row>
    <row r="39" spans="1:15" s="15" customFormat="1" ht="15" x14ac:dyDescent="0.25">
      <c r="A39" s="9"/>
      <c r="B39" s="53" t="s">
        <v>68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45</v>
      </c>
      <c r="O39" s="19" t="s">
        <v>24</v>
      </c>
    </row>
    <row r="40" spans="1:15" s="15" customFormat="1" ht="15.75" thickBot="1" x14ac:dyDescent="0.3">
      <c r="A40" s="9"/>
      <c r="B40" s="71" t="s">
        <v>5</v>
      </c>
      <c r="C40" s="72"/>
      <c r="D40" s="35" t="s">
        <v>69</v>
      </c>
      <c r="E40" s="35" t="s">
        <v>6</v>
      </c>
      <c r="F40" s="35" t="s">
        <v>69</v>
      </c>
      <c r="G40" s="35" t="s">
        <v>7</v>
      </c>
      <c r="H40" s="35" t="s">
        <v>69</v>
      </c>
      <c r="I40" s="73" t="s">
        <v>8</v>
      </c>
      <c r="J40" s="74"/>
      <c r="K40" s="75"/>
      <c r="L40" s="35" t="s">
        <v>69</v>
      </c>
      <c r="M40" s="9"/>
      <c r="N40" s="21" t="s">
        <v>60</v>
      </c>
      <c r="O40" s="19" t="s">
        <v>62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2</v>
      </c>
      <c r="E41" s="36" t="str">
        <f>E6</f>
        <v>Canada</v>
      </c>
      <c r="F41" s="6">
        <v>1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1</v>
      </c>
      <c r="M41" s="9"/>
      <c r="N41" s="21" t="s">
        <v>12</v>
      </c>
      <c r="O41" s="19" t="s">
        <v>32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4</v>
      </c>
      <c r="E42" s="36" t="str">
        <f t="shared" ref="E42:E44" si="1">E7</f>
        <v>Bosnië-Herzegovina</v>
      </c>
      <c r="F42" s="7">
        <v>3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4</v>
      </c>
      <c r="M42" s="9"/>
      <c r="N42" s="21" t="s">
        <v>10</v>
      </c>
      <c r="O42" s="19" t="s">
        <v>66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3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3</v>
      </c>
      <c r="M43" s="9"/>
      <c r="N43" s="21" t="s">
        <v>63</v>
      </c>
      <c r="O43" s="19" t="s">
        <v>59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1</v>
      </c>
      <c r="E44" s="36" t="str">
        <f t="shared" si="1"/>
        <v>Zwitserland</v>
      </c>
      <c r="F44" s="7">
        <v>2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2</v>
      </c>
      <c r="M44" s="9"/>
      <c r="N44" s="21" t="s">
        <v>53</v>
      </c>
      <c r="O44" s="34" t="s">
        <v>15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67</v>
      </c>
      <c r="O45" s="19" t="s">
        <v>56</v>
      </c>
    </row>
    <row r="46" spans="1:15" s="15" customFormat="1" ht="15.75" thickBot="1" x14ac:dyDescent="0.3">
      <c r="A46" s="9"/>
      <c r="B46" s="71" t="s">
        <v>20</v>
      </c>
      <c r="C46" s="72"/>
      <c r="D46" s="35" t="s">
        <v>69</v>
      </c>
      <c r="E46" s="35" t="s">
        <v>21</v>
      </c>
      <c r="F46" s="35" t="s">
        <v>69</v>
      </c>
      <c r="G46" s="35" t="s">
        <v>22</v>
      </c>
      <c r="H46" s="35" t="s">
        <v>69</v>
      </c>
      <c r="I46" s="73" t="s">
        <v>23</v>
      </c>
      <c r="J46" s="74"/>
      <c r="K46" s="75"/>
      <c r="L46" s="35" t="s">
        <v>69</v>
      </c>
      <c r="M46" s="9"/>
      <c r="N46" s="21" t="s">
        <v>29</v>
      </c>
      <c r="O46" s="19" t="s">
        <v>43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61</v>
      </c>
      <c r="O47" s="19" t="s">
        <v>64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4</v>
      </c>
      <c r="E48" s="36" t="str">
        <f t="shared" ref="E48:E50" si="5">E13</f>
        <v>Japan</v>
      </c>
      <c r="F48" s="7">
        <v>4</v>
      </c>
      <c r="G48" s="36" t="str">
        <f t="shared" ref="G48:G50" si="6">G13</f>
        <v>Egypte</v>
      </c>
      <c r="H48" s="2">
        <v>2</v>
      </c>
      <c r="I48" s="52" t="str">
        <f t="shared" ref="I48:I50" si="7">I13</f>
        <v>Kaapverdië</v>
      </c>
      <c r="J48" s="52"/>
      <c r="K48" s="52"/>
      <c r="L48" s="4">
        <v>4</v>
      </c>
      <c r="M48" s="9"/>
      <c r="N48" s="21" t="s">
        <v>26</v>
      </c>
      <c r="O48" s="19" t="s">
        <v>38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3</v>
      </c>
      <c r="E49" s="36" t="str">
        <f t="shared" si="5"/>
        <v>Zweden</v>
      </c>
      <c r="F49" s="7">
        <v>2</v>
      </c>
      <c r="G49" s="36" t="str">
        <f t="shared" si="6"/>
        <v>Iran</v>
      </c>
      <c r="H49" s="2">
        <v>3</v>
      </c>
      <c r="I49" s="52" t="str">
        <f t="shared" si="7"/>
        <v>Saoedi-Arabië</v>
      </c>
      <c r="J49" s="52"/>
      <c r="K49" s="52"/>
      <c r="L49" s="4">
        <v>3</v>
      </c>
      <c r="M49" s="9"/>
      <c r="N49" s="21" t="s">
        <v>41</v>
      </c>
      <c r="O49" s="34" t="s">
        <v>11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2</v>
      </c>
      <c r="E50" s="36" t="str">
        <f t="shared" si="5"/>
        <v>Tunesië</v>
      </c>
      <c r="F50" s="7">
        <v>3</v>
      </c>
      <c r="G50" s="36" t="str">
        <f t="shared" si="6"/>
        <v>Nieuw-Zeeland</v>
      </c>
      <c r="H50" s="2">
        <v>4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57</v>
      </c>
      <c r="O50" s="34" t="s">
        <v>13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44</v>
      </c>
      <c r="O51" s="19" t="s">
        <v>54</v>
      </c>
    </row>
    <row r="52" spans="1:15" s="15" customFormat="1" ht="15.75" thickBot="1" x14ac:dyDescent="0.3">
      <c r="A52" s="9"/>
      <c r="B52" s="71" t="s">
        <v>34</v>
      </c>
      <c r="C52" s="72"/>
      <c r="D52" s="35" t="s">
        <v>69</v>
      </c>
      <c r="E52" s="35" t="s">
        <v>35</v>
      </c>
      <c r="F52" s="35" t="s">
        <v>69</v>
      </c>
      <c r="G52" s="35" t="s">
        <v>36</v>
      </c>
      <c r="H52" s="35" t="s">
        <v>69</v>
      </c>
      <c r="I52" s="73" t="s">
        <v>37</v>
      </c>
      <c r="J52" s="74"/>
      <c r="K52" s="75"/>
      <c r="L52" s="35" t="s">
        <v>69</v>
      </c>
      <c r="M52" s="9"/>
      <c r="N52" s="21" t="s">
        <v>65</v>
      </c>
      <c r="O52" s="19" t="s">
        <v>25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3</v>
      </c>
      <c r="I54" s="52" t="str">
        <f t="shared" ref="I54:I56" si="11">I19</f>
        <v>Kroatië</v>
      </c>
      <c r="J54" s="52"/>
      <c r="K54" s="52"/>
      <c r="L54" s="4">
        <v>2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2" t="str">
        <f t="shared" si="11"/>
        <v>Ghana</v>
      </c>
      <c r="J55" s="52"/>
      <c r="K55" s="52"/>
      <c r="L55" s="4">
        <v>3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70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71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72</v>
      </c>
      <c r="C60" s="46" t="s">
        <v>73</v>
      </c>
      <c r="D60" s="37" t="s">
        <v>74</v>
      </c>
      <c r="E60" s="46" t="s">
        <v>25</v>
      </c>
      <c r="F60" s="50" t="s">
        <v>75</v>
      </c>
      <c r="G60" s="47"/>
      <c r="H60" s="51" t="s">
        <v>9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76</v>
      </c>
      <c r="C61" s="46" t="s">
        <v>19</v>
      </c>
      <c r="D61" s="37" t="s">
        <v>77</v>
      </c>
      <c r="E61" s="46" t="s">
        <v>54</v>
      </c>
      <c r="F61" s="47" t="s">
        <v>78</v>
      </c>
      <c r="G61" s="48"/>
      <c r="H61" s="49" t="s">
        <v>19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79</v>
      </c>
      <c r="C62" s="46" t="s">
        <v>31</v>
      </c>
      <c r="D62" s="37" t="s">
        <v>80</v>
      </c>
      <c r="E62" s="46" t="s">
        <v>13</v>
      </c>
      <c r="F62" s="47" t="s">
        <v>81</v>
      </c>
      <c r="G62" s="48"/>
      <c r="H62" s="49" t="s">
        <v>31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82</v>
      </c>
      <c r="C63" s="46" t="s">
        <v>51</v>
      </c>
      <c r="D63" s="37" t="s">
        <v>83</v>
      </c>
      <c r="E63" s="46" t="s">
        <v>28</v>
      </c>
      <c r="F63" s="47" t="s">
        <v>84</v>
      </c>
      <c r="G63" s="48"/>
      <c r="H63" s="49" t="s">
        <v>51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85</v>
      </c>
      <c r="C64" s="46" t="s">
        <v>33</v>
      </c>
      <c r="D64" s="37" t="s">
        <v>86</v>
      </c>
      <c r="E64" s="46" t="s">
        <v>66</v>
      </c>
      <c r="F64" s="47" t="s">
        <v>87</v>
      </c>
      <c r="G64" s="48"/>
      <c r="H64" s="49" t="s">
        <v>66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88</v>
      </c>
      <c r="C65" s="46" t="s">
        <v>42</v>
      </c>
      <c r="D65" s="37" t="s">
        <v>89</v>
      </c>
      <c r="E65" s="46" t="s">
        <v>32</v>
      </c>
      <c r="F65" s="47" t="s">
        <v>90</v>
      </c>
      <c r="G65" s="48"/>
      <c r="H65" s="49" t="s">
        <v>42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91</v>
      </c>
      <c r="C66" s="46" t="s">
        <v>15</v>
      </c>
      <c r="D66" s="37" t="s">
        <v>92</v>
      </c>
      <c r="E66" s="46" t="s">
        <v>47</v>
      </c>
      <c r="F66" s="47" t="s">
        <v>93</v>
      </c>
      <c r="G66" s="48"/>
      <c r="H66" s="49" t="s">
        <v>15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94</v>
      </c>
      <c r="C67" s="46" t="s">
        <v>41</v>
      </c>
      <c r="D67" s="37" t="s">
        <v>95</v>
      </c>
      <c r="E67" s="46" t="s">
        <v>60</v>
      </c>
      <c r="F67" s="47" t="s">
        <v>96</v>
      </c>
      <c r="G67" s="48"/>
      <c r="H67" s="49" t="s">
        <v>41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97</v>
      </c>
      <c r="C68" s="46" t="s">
        <v>16</v>
      </c>
      <c r="D68" s="37" t="s">
        <v>98</v>
      </c>
      <c r="E68" s="46" t="s">
        <v>62</v>
      </c>
      <c r="F68" s="50" t="s">
        <v>99</v>
      </c>
      <c r="G68" s="47"/>
      <c r="H68" s="51" t="s">
        <v>16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100</v>
      </c>
      <c r="C69" s="46" t="s">
        <v>38</v>
      </c>
      <c r="D69" s="37" t="s">
        <v>101</v>
      </c>
      <c r="E69" s="46" t="s">
        <v>56</v>
      </c>
      <c r="F69" s="47" t="s">
        <v>102</v>
      </c>
      <c r="G69" s="48"/>
      <c r="H69" s="49" t="s">
        <v>38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103</v>
      </c>
      <c r="C70" s="46" t="s">
        <v>59</v>
      </c>
      <c r="D70" s="37" t="s">
        <v>104</v>
      </c>
      <c r="E70" s="46" t="s">
        <v>63</v>
      </c>
      <c r="F70" s="47" t="s">
        <v>105</v>
      </c>
      <c r="G70" s="48"/>
      <c r="H70" s="49" t="s">
        <v>59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106</v>
      </c>
      <c r="C71" s="46" t="s">
        <v>26</v>
      </c>
      <c r="D71" s="37" t="s">
        <v>107</v>
      </c>
      <c r="E71" s="46" t="s">
        <v>57</v>
      </c>
      <c r="F71" s="47" t="s">
        <v>108</v>
      </c>
      <c r="G71" s="48"/>
      <c r="H71" s="49" t="s">
        <v>57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109</v>
      </c>
      <c r="C72" s="46" t="s">
        <v>17</v>
      </c>
      <c r="D72" s="37" t="s">
        <v>110</v>
      </c>
      <c r="E72" s="46" t="s">
        <v>48</v>
      </c>
      <c r="F72" s="47" t="s">
        <v>111</v>
      </c>
      <c r="G72" s="48"/>
      <c r="H72" s="49" t="s">
        <v>17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112</v>
      </c>
      <c r="C73" s="46" t="s">
        <v>43</v>
      </c>
      <c r="D73" s="37" t="s">
        <v>113</v>
      </c>
      <c r="E73" s="46" t="s">
        <v>39</v>
      </c>
      <c r="F73" s="47" t="s">
        <v>114</v>
      </c>
      <c r="G73" s="48"/>
      <c r="H73" s="49" t="s">
        <v>43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115</v>
      </c>
      <c r="C74" s="46" t="s">
        <v>12</v>
      </c>
      <c r="D74" s="37" t="s">
        <v>116</v>
      </c>
      <c r="E74" s="46" t="s">
        <v>64</v>
      </c>
      <c r="F74" s="47" t="s">
        <v>117</v>
      </c>
      <c r="G74" s="48"/>
      <c r="H74" s="49" t="s">
        <v>12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118</v>
      </c>
      <c r="C75" s="46" t="s">
        <v>67</v>
      </c>
      <c r="D75" s="37" t="s">
        <v>119</v>
      </c>
      <c r="E75" s="46" t="s">
        <v>44</v>
      </c>
      <c r="F75" s="47" t="s">
        <v>120</v>
      </c>
      <c r="G75" s="48"/>
      <c r="H75" s="49" t="s">
        <v>67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121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71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122</v>
      </c>
      <c r="C79" s="46" t="s">
        <v>9</v>
      </c>
      <c r="D79" s="37" t="s">
        <v>123</v>
      </c>
      <c r="E79" s="46" t="s">
        <v>51</v>
      </c>
      <c r="F79" s="50" t="s">
        <v>124</v>
      </c>
      <c r="G79" s="47"/>
      <c r="H79" s="51" t="s">
        <v>51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125</v>
      </c>
      <c r="C80" s="46" t="s">
        <v>31</v>
      </c>
      <c r="D80" s="37" t="s">
        <v>126</v>
      </c>
      <c r="E80" s="46" t="s">
        <v>42</v>
      </c>
      <c r="F80" s="47" t="s">
        <v>127</v>
      </c>
      <c r="G80" s="48"/>
      <c r="H80" s="49" t="s">
        <v>42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128</v>
      </c>
      <c r="C81" s="46" t="s">
        <v>19</v>
      </c>
      <c r="D81" s="37" t="s">
        <v>129</v>
      </c>
      <c r="E81" s="46" t="s">
        <v>66</v>
      </c>
      <c r="F81" s="47" t="s">
        <v>130</v>
      </c>
      <c r="G81" s="48"/>
      <c r="H81" s="49" t="s">
        <v>19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131</v>
      </c>
      <c r="C82" s="46" t="s">
        <v>15</v>
      </c>
      <c r="D82" s="37" t="s">
        <v>132</v>
      </c>
      <c r="E82" s="46" t="s">
        <v>41</v>
      </c>
      <c r="F82" s="47" t="s">
        <v>133</v>
      </c>
      <c r="G82" s="48"/>
      <c r="H82" s="49" t="s">
        <v>41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134</v>
      </c>
      <c r="C83" s="46" t="s">
        <v>57</v>
      </c>
      <c r="D83" s="37" t="s">
        <v>135</v>
      </c>
      <c r="E83" s="46" t="s">
        <v>59</v>
      </c>
      <c r="F83" s="47" t="s">
        <v>136</v>
      </c>
      <c r="G83" s="48"/>
      <c r="H83" s="49" t="s">
        <v>59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137</v>
      </c>
      <c r="C84" s="46" t="s">
        <v>38</v>
      </c>
      <c r="D84" s="37" t="s">
        <v>138</v>
      </c>
      <c r="E84" s="46" t="s">
        <v>16</v>
      </c>
      <c r="F84" s="47" t="s">
        <v>139</v>
      </c>
      <c r="G84" s="48"/>
      <c r="H84" s="49" t="s">
        <v>16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140</v>
      </c>
      <c r="C85" s="46" t="s">
        <v>12</v>
      </c>
      <c r="D85" s="37" t="s">
        <v>141</v>
      </c>
      <c r="E85" s="46" t="s">
        <v>43</v>
      </c>
      <c r="F85" s="47" t="s">
        <v>142</v>
      </c>
      <c r="G85" s="48"/>
      <c r="H85" s="49" t="s">
        <v>12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143</v>
      </c>
      <c r="C86" s="46" t="s">
        <v>17</v>
      </c>
      <c r="D86" s="37" t="s">
        <v>144</v>
      </c>
      <c r="E86" s="46" t="s">
        <v>67</v>
      </c>
      <c r="F86" s="47" t="s">
        <v>145</v>
      </c>
      <c r="G86" s="48"/>
      <c r="H86" s="49" t="s">
        <v>67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146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71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147</v>
      </c>
      <c r="C90" s="41"/>
      <c r="D90" s="42" t="s">
        <v>148</v>
      </c>
      <c r="E90" s="43"/>
      <c r="F90" s="47" t="s">
        <v>149</v>
      </c>
      <c r="G90" s="48"/>
      <c r="H90" s="51" t="s">
        <v>42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150</v>
      </c>
      <c r="C91" s="41"/>
      <c r="D91" s="42" t="s">
        <v>151</v>
      </c>
      <c r="E91" s="43"/>
      <c r="F91" s="47" t="s">
        <v>152</v>
      </c>
      <c r="G91" s="48"/>
      <c r="H91" s="49" t="s">
        <v>59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153</v>
      </c>
      <c r="C92" s="41"/>
      <c r="D92" s="42" t="s">
        <v>154</v>
      </c>
      <c r="E92" s="43"/>
      <c r="F92" s="47" t="s">
        <v>155</v>
      </c>
      <c r="G92" s="48"/>
      <c r="H92" s="49" t="s">
        <v>19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156</v>
      </c>
      <c r="C93" s="41"/>
      <c r="D93" s="42" t="s">
        <v>157</v>
      </c>
      <c r="E93" s="43"/>
      <c r="F93" s="47" t="s">
        <v>158</v>
      </c>
      <c r="G93" s="48"/>
      <c r="H93" s="49" t="s">
        <v>12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159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71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160</v>
      </c>
      <c r="C97" s="44"/>
      <c r="D97" s="40" t="s">
        <v>161</v>
      </c>
      <c r="E97" s="43"/>
      <c r="F97" s="48" t="s">
        <v>162</v>
      </c>
      <c r="G97" s="48"/>
      <c r="H97" s="51" t="s">
        <v>42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163</v>
      </c>
      <c r="C98" s="44"/>
      <c r="D98" s="40" t="s">
        <v>164</v>
      </c>
      <c r="E98" s="43"/>
      <c r="F98" s="48" t="s">
        <v>165</v>
      </c>
      <c r="G98" s="48"/>
      <c r="H98" s="49" t="s">
        <v>19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166</v>
      </c>
      <c r="C100" s="81" t="s">
        <v>167</v>
      </c>
      <c r="D100" s="60"/>
      <c r="E100" s="60"/>
      <c r="F100" s="60"/>
      <c r="G100" s="9"/>
      <c r="H100" s="54" t="s">
        <v>71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168</v>
      </c>
      <c r="H101" s="51" t="s">
        <v>42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169</v>
      </c>
      <c r="H102" s="49" t="s">
        <v>19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170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171</v>
      </c>
      <c r="C104" s="48"/>
      <c r="D104" s="48"/>
      <c r="E104" s="48"/>
      <c r="F104" s="5">
        <v>9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172</v>
      </c>
      <c r="C105" s="48"/>
      <c r="D105" s="48"/>
      <c r="E105" s="48"/>
      <c r="F105" s="5">
        <v>4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173</v>
      </c>
      <c r="C106" s="48"/>
      <c r="D106" s="48"/>
      <c r="E106" s="48"/>
      <c r="F106" s="5">
        <v>7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174</v>
      </c>
      <c r="C107" s="48"/>
      <c r="D107" s="48"/>
      <c r="E107" s="48"/>
      <c r="F107" s="5">
        <v>295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175</v>
      </c>
      <c r="C108" s="48"/>
      <c r="D108" s="48"/>
      <c r="E108" s="48"/>
      <c r="F108" s="5">
        <v>15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176</v>
      </c>
      <c r="C110" s="48"/>
      <c r="D110" s="48"/>
      <c r="E110" s="48"/>
      <c r="F110" s="5" t="s">
        <v>178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Gaeta, Gino</cp:lastModifiedBy>
  <cp:revision/>
  <dcterms:created xsi:type="dcterms:W3CDTF">2016-06-06T06:02:43Z</dcterms:created>
  <dcterms:modified xsi:type="dcterms:W3CDTF">2026-06-11T10:46:41Z</dcterms:modified>
  <cp:category/>
  <cp:contentStatus/>
</cp:coreProperties>
</file>