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76FE46C0-A08C-4157-880D-CE7175020CB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<sst xmlns="http://schemas.openxmlformats.org/spreadsheetml/2006/main" count="370" uniqueCount="178">
  <si>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</si>
  <si>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</si>
  <si>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</si>
  <si>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</si>
  <si>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</si>
  <si>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</si>
  <si>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</si>
  <si>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</si>
  <si>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</si>
  <si>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</si>
  <si>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</si>
  <si>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</si>
  <si>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</si>
  <si>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</si>
  <si>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</si>
  <si>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</si>
  <si>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</si>
  <si>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</si>
  <si>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</si>
  <si>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</si>
  <si>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</si>
  <si>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</si>
  <si>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</si>
  <si>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</si>
  <si>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</si>
  <si>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</si>
  <si>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</si>
  <si>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</si>
  <si>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</si>
  <si>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</si>
  <si>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</si>
  <si>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</si>
  <si>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</si>
  <si>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</si>
  <si>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</si>
  <si>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</si>
  <si>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</si>
  <si>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</si>
  <si>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</si>
  <si>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</si>
  <si>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</si>
  <si>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</si>
  <si>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</si>
  <si>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</si>
  <si>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</si>
  <si>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</si>
  <si>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</si>
  <si>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</si>
  <si>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</si>
  <si>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</si>
  <si>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</si>
  <si>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</si>
  <si>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</si>
  <si>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</si>
  <si>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</si>
  <si>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</si>
  <si>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</si>
  <si>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</si>
  <si>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</si>
  <si>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</si>
  <si>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</si>
  <si>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</si>
  <si>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</si>
  <si>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</si>
  <si>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</si>
  <si>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</si>
  <si>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</si>
  <si>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</si>
  <si>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</si>
  <si>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</si>
  <si>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</si>
  <si>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</si>
  <si>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</si>
  <si>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</si>
  <si>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</si>
  <si>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</si>
  <si>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</si>
  <si>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</si>
  <si>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</si>
  <si>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</si>
  <si>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</si>
  <si>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</si>
  <si>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</si>
  <si>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</si>
  <si>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</si>
  <si>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</si>
  <si>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</si>
  <si>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</si>
  <si>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</si>
  <si>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</si>
  <si>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</si>
  <si>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</si>
  <si>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</si>
  <si>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</si>
  <si>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</si>
  <si>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</si>
  <si>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</si>
  <si>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</si>
  <si>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</si>
  <si>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</si>
  <si>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</si>
  <si>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</si>
  <si>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</si>
  <si>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</si>
  <si>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</si>
  <si>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</si>
  <si>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</si>
  <si>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</si>
  <si>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</si>
  <si>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</si>
  <si>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</si>
  <si>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</si>
  <si>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</si>
  <si>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</si>
  <si>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</si>
  <si>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</si>
  <si>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</si>
  <si>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</si>
  <si>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</si>
  <si>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</si>
  <si>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</si>
  <si>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</si>
  <si>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</si>
  <si>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</si>
  <si>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</si>
  <si>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</si>
  <si>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</si>
  <si>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</si>
  <si>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</si>
  <si>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</si>
  <si>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</si>
  <si>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</si>
  <si>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</si>
  <si>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</si>
  <si>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</si>
  <si>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</si>
  <si>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</si>
  <si>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</si>
  <si>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</si>
  <si>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</si>
  <si>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</si>
  <si>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</si>
  <si>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</si>
  <si>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</si>
  <si>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</si>
  <si>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</si>
  <si>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</si>
  <si>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</si>
  <si>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</si>
  <si>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</si>
  <si>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</si>
  <si>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</si>
  <si>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</si>
  <si>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</si>
  <si>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</si>
  <si>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</si>
  <si>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</si>
  <si>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</si>
  <si>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</si>
  <si>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</si>
  <si>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</si>
  <si>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</si>
  <si>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</si>
  <si>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</si>
  <si>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</si>
  <si>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</si>
  <si>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</si>
  <si>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</si>
  <si>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</si>
  <si>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</si>
  <si>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</si>
  <si>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</si>
  <si>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</si>
  <si>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</si>
  <si>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</si>
  <si>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</si>
  <si>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yamal</t>
  </si>
  <si>
    <t>Niels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</si>
</sst>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4" borderId="4" xfId="0" applyFill="1" applyBorder="1" applyAlignment="1" applyProtection="1">
      <alignment horizontal="left"/>
      <protection locked="0"/>
    </xf>
    <xf numFmtId="0" fontId="0" fillId="4" borderId="4" xfId="0" quotePrefix="1" applyFill="1" applyBorder="1" applyAlignment="1" applyProtection="1">
      <alignment horizontal="left"/>
      <protection locked="0"/>
    </xf>
    <xf numFmtId="0" fontId="0" fillId="4" borderId="7" xfId="0" applyFill="1" applyBorder="1" applyAlignment="1" applyProtection="1">
      <alignment horizontal="left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2" borderId="19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0" fillId="5" borderId="0" xfId="0" quotePrefix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zoomScale="85" zoomScaleNormal="85" workbookViewId="0">
      <selection activeCell="H3" sqref="H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60"/>
      <c r="J1" s="60"/>
      <c r="K1" s="60"/>
      <c r="L1" s="10"/>
      <c r="M1" s="10"/>
      <c r="N1" s="10"/>
      <c r="O1" s="11"/>
    </row>
    <row r="2" spans="1:15" s="15" customFormat="1" ht="20.25" thickTop="1" thickBot="1" x14ac:dyDescent="0.35">
      <c r="A2" s="9"/>
      <c r="B2" s="65" t="s">
        <v>175</v>
      </c>
      <c r="C2" s="66"/>
      <c r="D2" s="66"/>
      <c r="E2" s="67"/>
      <c r="F2" s="9"/>
      <c r="G2" s="12" t="s">
        <v>0</v>
      </c>
      <c r="H2" s="62" t="s">
        <v>177</v>
      </c>
      <c r="I2" s="63"/>
      <c r="J2" s="63"/>
      <c r="K2" s="63"/>
      <c r="L2" s="64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61" t="s">
        <v>1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57" t="s">
        <v>2</v>
      </c>
      <c r="C5" s="57"/>
      <c r="D5" s="57"/>
      <c r="E5" s="57" t="s">
        <v>3</v>
      </c>
      <c r="F5" s="57"/>
      <c r="G5" s="57" t="s">
        <v>4</v>
      </c>
      <c r="H5" s="57"/>
      <c r="I5" s="57" t="s">
        <v>5</v>
      </c>
      <c r="J5" s="57"/>
      <c r="K5" s="57"/>
      <c r="L5" s="57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0" t="str">
        <f>N5</f>
        <v>Mexico</v>
      </c>
      <c r="C6" s="68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0" t="str">
        <f>N6</f>
        <v>Zuid-Afrika</v>
      </c>
      <c r="C7" s="68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0" t="str">
        <f>N7</f>
        <v>Zuid-Korea</v>
      </c>
      <c r="C8" s="68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4" t="str">
        <f>N8</f>
        <v>Tsjechië</v>
      </c>
      <c r="C9" s="55"/>
      <c r="D9" s="56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57" t="s">
        <v>15</v>
      </c>
      <c r="C11" s="57"/>
      <c r="D11" s="57"/>
      <c r="E11" s="57" t="s">
        <v>16</v>
      </c>
      <c r="F11" s="57"/>
      <c r="G11" s="57" t="s">
        <v>66</v>
      </c>
      <c r="H11" s="57"/>
      <c r="I11" s="57" t="s">
        <v>67</v>
      </c>
      <c r="J11" s="57"/>
      <c r="K11" s="57"/>
      <c r="L11" s="57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57" t="s">
        <v>68</v>
      </c>
      <c r="C17" s="57"/>
      <c r="D17" s="57"/>
      <c r="E17" s="57" t="s">
        <v>69</v>
      </c>
      <c r="F17" s="57"/>
      <c r="G17" s="57" t="s">
        <v>70</v>
      </c>
      <c r="H17" s="57"/>
      <c r="I17" s="57" t="s">
        <v>71</v>
      </c>
      <c r="J17" s="57"/>
      <c r="K17" s="57"/>
      <c r="L17" s="57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73" t="s">
        <v>22</v>
      </c>
      <c r="I24" s="74"/>
      <c r="J24" s="75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9">
        <v>46184</v>
      </c>
      <c r="C25" s="70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2</v>
      </c>
      <c r="I25" s="29" t="s">
        <v>23</v>
      </c>
      <c r="J25" s="3">
        <v>0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9">
        <v>46185</v>
      </c>
      <c r="C26" s="70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1</v>
      </c>
      <c r="I26" s="30" t="s">
        <v>23</v>
      </c>
      <c r="J26" s="4">
        <v>1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9">
        <v>46186</v>
      </c>
      <c r="C27" s="70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1</v>
      </c>
      <c r="I27" s="30" t="s">
        <v>23</v>
      </c>
      <c r="J27" s="4">
        <v>2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9">
        <v>46187</v>
      </c>
      <c r="C28" s="70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2</v>
      </c>
      <c r="I28" s="30" t="s">
        <v>23</v>
      </c>
      <c r="J28" s="4">
        <v>1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9">
        <v>46187</v>
      </c>
      <c r="C29" s="70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5</v>
      </c>
      <c r="I29" s="30" t="s">
        <v>23</v>
      </c>
      <c r="J29" s="4">
        <v>0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9">
        <v>46189</v>
      </c>
      <c r="C30" s="70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3</v>
      </c>
      <c r="I30" s="30" t="s">
        <v>23</v>
      </c>
      <c r="J30" s="4">
        <v>0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9">
        <v>46190</v>
      </c>
      <c r="C31" s="70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1</v>
      </c>
      <c r="I31" s="30" t="s">
        <v>23</v>
      </c>
      <c r="J31" s="4">
        <v>1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9">
        <v>46193</v>
      </c>
      <c r="C32" s="70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2</v>
      </c>
      <c r="I32" s="30" t="s">
        <v>23</v>
      </c>
      <c r="J32" s="4">
        <v>0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9">
        <v>46194</v>
      </c>
      <c r="C33" s="70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3</v>
      </c>
      <c r="I33" s="30" t="s">
        <v>23</v>
      </c>
      <c r="J33" s="4">
        <v>0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9">
        <v>46195</v>
      </c>
      <c r="C34" s="70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4</v>
      </c>
      <c r="I34" s="30" t="s">
        <v>23</v>
      </c>
      <c r="J34" s="4">
        <v>0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9">
        <v>46198</v>
      </c>
      <c r="C35" s="70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0</v>
      </c>
      <c r="I35" s="30" t="s">
        <v>23</v>
      </c>
      <c r="J35" s="4">
        <v>4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9">
        <v>46198</v>
      </c>
      <c r="C36" s="70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2</v>
      </c>
      <c r="I36" s="30" t="s">
        <v>23</v>
      </c>
      <c r="J36" s="4">
        <v>1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9">
        <v>46200</v>
      </c>
      <c r="C37" s="70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1</v>
      </c>
      <c r="I37" s="30" t="s">
        <v>23</v>
      </c>
      <c r="J37" s="4">
        <v>3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3" t="s">
        <v>24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71" t="s">
        <v>2</v>
      </c>
      <c r="C40" s="72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73" t="s">
        <v>5</v>
      </c>
      <c r="J40" s="74"/>
      <c r="K40" s="75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76" t="str">
        <f>B6</f>
        <v>Mexico</v>
      </c>
      <c r="C41" s="76"/>
      <c r="D41" s="3">
        <v>3</v>
      </c>
      <c r="E41" s="36" t="str">
        <f>E6</f>
        <v>Canada</v>
      </c>
      <c r="F41" s="6">
        <v>3</v>
      </c>
      <c r="G41" s="36" t="str">
        <f>G6</f>
        <v>Brazilië</v>
      </c>
      <c r="H41" s="6">
        <v>1</v>
      </c>
      <c r="I41" s="77" t="str">
        <f>I6</f>
        <v>Verenigde Staten</v>
      </c>
      <c r="J41" s="78"/>
      <c r="K41" s="79"/>
      <c r="L41" s="6">
        <v>2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2" t="str">
        <f t="shared" ref="B42:B44" si="0">B7</f>
        <v>Zuid-Afrika</v>
      </c>
      <c r="C42" s="52"/>
      <c r="D42" s="4">
        <v>4</v>
      </c>
      <c r="E42" s="36" t="str">
        <f t="shared" ref="E42:E44" si="1">E7</f>
        <v>Bosnië-Herzegovina</v>
      </c>
      <c r="F42" s="7">
        <v>2</v>
      </c>
      <c r="G42" s="36" t="str">
        <f t="shared" ref="G42:G44" si="2">G7</f>
        <v>Marokko</v>
      </c>
      <c r="H42" s="2">
        <v>2</v>
      </c>
      <c r="I42" s="52" t="str">
        <f t="shared" ref="I42:I44" si="3">I7</f>
        <v>Paraguay</v>
      </c>
      <c r="J42" s="52"/>
      <c r="K42" s="52"/>
      <c r="L42" s="4">
        <v>4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2" t="str">
        <f t="shared" si="0"/>
        <v>Zuid-Korea</v>
      </c>
      <c r="C43" s="52"/>
      <c r="D43" s="4">
        <v>2</v>
      </c>
      <c r="E43" s="36" t="str">
        <f t="shared" si="1"/>
        <v>Qatar</v>
      </c>
      <c r="F43" s="7">
        <v>4</v>
      </c>
      <c r="G43" s="36" t="str">
        <f t="shared" si="2"/>
        <v>Haïti</v>
      </c>
      <c r="H43" s="2">
        <v>4</v>
      </c>
      <c r="I43" s="52" t="str">
        <f t="shared" si="3"/>
        <v>Australië</v>
      </c>
      <c r="J43" s="52"/>
      <c r="K43" s="52"/>
      <c r="L43" s="4">
        <v>3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2" t="str">
        <f t="shared" si="0"/>
        <v>Tsjechië</v>
      </c>
      <c r="C44" s="52"/>
      <c r="D44" s="4">
        <v>1</v>
      </c>
      <c r="E44" s="36" t="str">
        <f t="shared" si="1"/>
        <v>Zwitserland</v>
      </c>
      <c r="F44" s="7">
        <v>1</v>
      </c>
      <c r="G44" s="36" t="str">
        <f t="shared" si="2"/>
        <v>Schotland</v>
      </c>
      <c r="H44" s="2">
        <v>3</v>
      </c>
      <c r="I44" s="52" t="str">
        <f t="shared" si="3"/>
        <v>Turkije</v>
      </c>
      <c r="J44" s="52"/>
      <c r="K44" s="52"/>
      <c r="L44" s="4">
        <v>1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71" t="s">
        <v>15</v>
      </c>
      <c r="C46" s="72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73" t="s">
        <v>67</v>
      </c>
      <c r="J46" s="74"/>
      <c r="K46" s="75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76" t="str">
        <f>B12</f>
        <v>Duitsland</v>
      </c>
      <c r="C47" s="76"/>
      <c r="D47" s="3">
        <v>1</v>
      </c>
      <c r="E47" s="36" t="str">
        <f>E12</f>
        <v>Nederland</v>
      </c>
      <c r="F47" s="6">
        <v>1</v>
      </c>
      <c r="G47" s="36" t="str">
        <f>G12</f>
        <v>België</v>
      </c>
      <c r="H47" s="6">
        <v>1</v>
      </c>
      <c r="I47" s="77" t="str">
        <f>I12</f>
        <v>Spanje</v>
      </c>
      <c r="J47" s="78"/>
      <c r="K47" s="79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2" t="str">
        <f t="shared" ref="B48:B50" si="4">B13</f>
        <v>Curaçao</v>
      </c>
      <c r="C48" s="52"/>
      <c r="D48" s="4">
        <v>4</v>
      </c>
      <c r="E48" s="36" t="str">
        <f t="shared" ref="E48:E50" si="5">E13</f>
        <v>Japan</v>
      </c>
      <c r="F48" s="7">
        <v>2</v>
      </c>
      <c r="G48" s="36" t="str">
        <f t="shared" ref="G48:G50" si="6">G13</f>
        <v>Egypte</v>
      </c>
      <c r="H48" s="2">
        <v>4</v>
      </c>
      <c r="I48" s="52" t="str">
        <f t="shared" ref="I48:I50" si="7">I13</f>
        <v>Kaapverdië</v>
      </c>
      <c r="J48" s="52"/>
      <c r="K48" s="52"/>
      <c r="L48" s="4">
        <v>4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2" t="str">
        <f t="shared" si="4"/>
        <v>Ivoorkust</v>
      </c>
      <c r="C49" s="52"/>
      <c r="D49" s="4">
        <v>3</v>
      </c>
      <c r="E49" s="36" t="str">
        <f t="shared" si="5"/>
        <v>Zweden</v>
      </c>
      <c r="F49" s="7">
        <v>3</v>
      </c>
      <c r="G49" s="36" t="str">
        <f t="shared" si="6"/>
        <v>Iran</v>
      </c>
      <c r="H49" s="2">
        <v>3</v>
      </c>
      <c r="I49" s="52" t="str">
        <f t="shared" si="7"/>
        <v>Saoedi-Arabië</v>
      </c>
      <c r="J49" s="52"/>
      <c r="K49" s="52"/>
      <c r="L49" s="4">
        <v>3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2" t="str">
        <f t="shared" si="4"/>
        <v>Ecuador</v>
      </c>
      <c r="C50" s="52"/>
      <c r="D50" s="4">
        <v>2</v>
      </c>
      <c r="E50" s="36" t="str">
        <f t="shared" si="5"/>
        <v>Tunesië</v>
      </c>
      <c r="F50" s="7">
        <v>4</v>
      </c>
      <c r="G50" s="36" t="str">
        <f t="shared" si="6"/>
        <v>Nieuw-Zeeland</v>
      </c>
      <c r="H50" s="2">
        <v>2</v>
      </c>
      <c r="I50" s="52" t="str">
        <f t="shared" si="7"/>
        <v>Uruguay</v>
      </c>
      <c r="J50" s="52"/>
      <c r="K50" s="52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71" t="s">
        <v>68</v>
      </c>
      <c r="C52" s="72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73" t="s">
        <v>71</v>
      </c>
      <c r="J52" s="74"/>
      <c r="K52" s="75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76" t="str">
        <f>B18</f>
        <v>Frankrijk</v>
      </c>
      <c r="C53" s="76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77" t="str">
        <f>I18</f>
        <v>Engeland</v>
      </c>
      <c r="J53" s="78"/>
      <c r="K53" s="79"/>
      <c r="L53" s="6">
        <v>1</v>
      </c>
      <c r="M53" s="9"/>
      <c r="N53" s="9"/>
      <c r="O53" s="9"/>
    </row>
    <row r="54" spans="1:15" s="15" customFormat="1" ht="15" x14ac:dyDescent="0.25">
      <c r="A54" s="9"/>
      <c r="B54" s="52" t="str">
        <f t="shared" ref="B54:B56" si="8">B19</f>
        <v>Senegal</v>
      </c>
      <c r="C54" s="52"/>
      <c r="D54" s="4">
        <v>3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4</v>
      </c>
      <c r="I54" s="52" t="str">
        <f t="shared" ref="I54:I56" si="11">I19</f>
        <v>Kroatië</v>
      </c>
      <c r="J54" s="52"/>
      <c r="K54" s="52"/>
      <c r="L54" s="4">
        <v>2</v>
      </c>
      <c r="M54" s="9"/>
      <c r="N54" s="9"/>
      <c r="O54" s="9"/>
    </row>
    <row r="55" spans="1:15" s="15" customFormat="1" ht="15" x14ac:dyDescent="0.25">
      <c r="A55" s="9"/>
      <c r="B55" s="52" t="str">
        <f t="shared" si="8"/>
        <v>Irak</v>
      </c>
      <c r="C55" s="52"/>
      <c r="D55" s="4">
        <v>4</v>
      </c>
      <c r="E55" s="36" t="str">
        <f t="shared" si="9"/>
        <v>Oostenrijk</v>
      </c>
      <c r="F55" s="7">
        <v>2</v>
      </c>
      <c r="G55" s="36" t="str">
        <f t="shared" si="10"/>
        <v>Oezbekistan</v>
      </c>
      <c r="H55" s="2">
        <v>3</v>
      </c>
      <c r="I55" s="52" t="str">
        <f t="shared" si="11"/>
        <v>Ghana</v>
      </c>
      <c r="J55" s="52"/>
      <c r="K55" s="52"/>
      <c r="L55" s="4">
        <v>3</v>
      </c>
      <c r="M55" s="9"/>
      <c r="N55" s="9"/>
      <c r="O55" s="9"/>
    </row>
    <row r="56" spans="1:15" s="15" customFormat="1" ht="15" x14ac:dyDescent="0.25">
      <c r="A56" s="9"/>
      <c r="B56" s="52" t="str">
        <f t="shared" si="8"/>
        <v>Noorwegen</v>
      </c>
      <c r="C56" s="52"/>
      <c r="D56" s="4">
        <v>2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2</v>
      </c>
      <c r="I56" s="52" t="str">
        <f t="shared" si="11"/>
        <v>Panama</v>
      </c>
      <c r="J56" s="52"/>
      <c r="K56" s="52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3" t="s">
        <v>109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4" t="s">
        <v>27</v>
      </c>
      <c r="I59" s="55"/>
      <c r="J59" s="56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3" t="s">
        <v>74</v>
      </c>
      <c r="D60" s="37" t="s">
        <v>29</v>
      </c>
      <c r="E60" s="43" t="s">
        <v>76</v>
      </c>
      <c r="F60" s="50" t="s">
        <v>30</v>
      </c>
      <c r="G60" s="47"/>
      <c r="H60" s="51" t="s">
        <v>74</v>
      </c>
      <c r="I60" s="51"/>
      <c r="J60" s="51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3" t="s">
        <v>78</v>
      </c>
      <c r="D61" s="37" t="s">
        <v>44</v>
      </c>
      <c r="E61" s="43" t="s">
        <v>87</v>
      </c>
      <c r="F61" s="47" t="s">
        <v>33</v>
      </c>
      <c r="G61" s="48"/>
      <c r="H61" s="49" t="s">
        <v>78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3" t="s">
        <v>6</v>
      </c>
      <c r="D62" s="37" t="s">
        <v>110</v>
      </c>
      <c r="E62" s="43" t="s">
        <v>18</v>
      </c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3" t="s">
        <v>10</v>
      </c>
      <c r="D63" s="37" t="s">
        <v>32</v>
      </c>
      <c r="E63" s="43" t="s">
        <v>79</v>
      </c>
      <c r="F63" s="47" t="s">
        <v>37</v>
      </c>
      <c r="G63" s="48"/>
      <c r="H63" s="49" t="s">
        <v>10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3" t="s">
        <v>86</v>
      </c>
      <c r="D64" s="37" t="s">
        <v>112</v>
      </c>
      <c r="E64" s="43" t="s">
        <v>98</v>
      </c>
      <c r="F64" s="47" t="s">
        <v>40</v>
      </c>
      <c r="G64" s="48"/>
      <c r="H64" s="49" t="s">
        <v>98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3" t="s">
        <v>14</v>
      </c>
      <c r="D65" s="37" t="s">
        <v>113</v>
      </c>
      <c r="E65" s="43" t="s">
        <v>8</v>
      </c>
      <c r="F65" s="47" t="s">
        <v>42</v>
      </c>
      <c r="G65" s="48"/>
      <c r="H65" s="49" t="s">
        <v>14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3" t="s">
        <v>20</v>
      </c>
      <c r="D66" s="37" t="s">
        <v>114</v>
      </c>
      <c r="E66" s="43" t="s">
        <v>88</v>
      </c>
      <c r="F66" s="47" t="s">
        <v>45</v>
      </c>
      <c r="G66" s="48"/>
      <c r="H66" s="49" t="s">
        <v>88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3" t="s">
        <v>13</v>
      </c>
      <c r="D67" s="37" t="s">
        <v>129</v>
      </c>
      <c r="E67" s="43" t="s">
        <v>100</v>
      </c>
      <c r="F67" s="47" t="s">
        <v>47</v>
      </c>
      <c r="G67" s="48"/>
      <c r="H67" s="49" t="s">
        <v>13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3" t="s">
        <v>17</v>
      </c>
      <c r="D68" s="37" t="s">
        <v>116</v>
      </c>
      <c r="E68" s="43" t="s">
        <v>72</v>
      </c>
      <c r="F68" s="50" t="s">
        <v>130</v>
      </c>
      <c r="G68" s="47"/>
      <c r="H68" s="51" t="s">
        <v>17</v>
      </c>
      <c r="I68" s="51"/>
      <c r="J68" s="51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3" t="s">
        <v>18</v>
      </c>
      <c r="D69" s="37" t="s">
        <v>117</v>
      </c>
      <c r="E69" s="43" t="s">
        <v>100</v>
      </c>
      <c r="F69" s="47" t="s">
        <v>49</v>
      </c>
      <c r="G69" s="48"/>
      <c r="H69" s="49" t="s">
        <v>18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3" t="s">
        <v>7</v>
      </c>
      <c r="D70" s="37" t="s">
        <v>119</v>
      </c>
      <c r="E70" s="43" t="s">
        <v>11</v>
      </c>
      <c r="F70" s="47" t="s">
        <v>50</v>
      </c>
      <c r="G70" s="48"/>
      <c r="H70" s="49" t="s">
        <v>7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3" t="s">
        <v>104</v>
      </c>
      <c r="D71" s="37" t="s">
        <v>121</v>
      </c>
      <c r="E71" s="43" t="s">
        <v>9</v>
      </c>
      <c r="F71" s="47" t="s">
        <v>51</v>
      </c>
      <c r="G71" s="48"/>
      <c r="H71" s="49" t="s">
        <v>9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3" t="s">
        <v>12</v>
      </c>
      <c r="D72" s="37" t="s">
        <v>122</v>
      </c>
      <c r="E72" s="43" t="s">
        <v>75</v>
      </c>
      <c r="F72" s="47" t="s">
        <v>53</v>
      </c>
      <c r="G72" s="48"/>
      <c r="H72" s="49" t="s">
        <v>12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3" t="s">
        <v>81</v>
      </c>
      <c r="D73" s="37" t="s">
        <v>123</v>
      </c>
      <c r="E73" s="43" t="s">
        <v>92</v>
      </c>
      <c r="F73" s="47" t="s">
        <v>54</v>
      </c>
      <c r="G73" s="48"/>
      <c r="H73" s="49" t="s">
        <v>81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3" t="s">
        <v>99</v>
      </c>
      <c r="D74" s="37" t="s">
        <v>125</v>
      </c>
      <c r="E74" s="43" t="s">
        <v>95</v>
      </c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3" t="s">
        <v>19</v>
      </c>
      <c r="D75" s="37" t="s">
        <v>127</v>
      </c>
      <c r="E75" s="43" t="s">
        <v>96</v>
      </c>
      <c r="F75" s="47" t="s">
        <v>132</v>
      </c>
      <c r="G75" s="48"/>
      <c r="H75" s="49" t="s">
        <v>19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3" t="s">
        <v>26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4" t="s">
        <v>27</v>
      </c>
      <c r="I78" s="55"/>
      <c r="J78" s="56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3" t="s">
        <v>74</v>
      </c>
      <c r="D79" s="37" t="s">
        <v>134</v>
      </c>
      <c r="E79" s="43" t="s">
        <v>10</v>
      </c>
      <c r="F79" s="50" t="s">
        <v>149</v>
      </c>
      <c r="G79" s="47"/>
      <c r="H79" s="51" t="s">
        <v>10</v>
      </c>
      <c r="I79" s="51"/>
      <c r="J79" s="51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3" t="s">
        <v>6</v>
      </c>
      <c r="D80" s="37" t="s">
        <v>136</v>
      </c>
      <c r="E80" s="43" t="s">
        <v>14</v>
      </c>
      <c r="F80" s="47" t="s">
        <v>150</v>
      </c>
      <c r="G80" s="48"/>
      <c r="H80" s="49" t="s">
        <v>14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3" t="s">
        <v>78</v>
      </c>
      <c r="D81" s="37" t="s">
        <v>137</v>
      </c>
      <c r="E81" s="43" t="s">
        <v>98</v>
      </c>
      <c r="F81" s="47" t="s">
        <v>151</v>
      </c>
      <c r="G81" s="48"/>
      <c r="H81" s="49" t="s">
        <v>78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3" t="s">
        <v>88</v>
      </c>
      <c r="D82" s="37" t="s">
        <v>140</v>
      </c>
      <c r="E82" s="43" t="s">
        <v>13</v>
      </c>
      <c r="F82" s="47" t="s">
        <v>152</v>
      </c>
      <c r="G82" s="48"/>
      <c r="H82" s="49" t="s">
        <v>13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3" t="s">
        <v>9</v>
      </c>
      <c r="D83" s="37" t="s">
        <v>141</v>
      </c>
      <c r="E83" s="43" t="s">
        <v>7</v>
      </c>
      <c r="F83" s="47" t="s">
        <v>153</v>
      </c>
      <c r="G83" s="48"/>
      <c r="H83" s="49" t="s">
        <v>7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3" t="s">
        <v>18</v>
      </c>
      <c r="D84" s="37" t="s">
        <v>144</v>
      </c>
      <c r="E84" s="43" t="s">
        <v>17</v>
      </c>
      <c r="F84" s="47" t="s">
        <v>154</v>
      </c>
      <c r="G84" s="48"/>
      <c r="H84" s="49" t="s">
        <v>18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3" t="s">
        <v>99</v>
      </c>
      <c r="D85" s="37" t="s">
        <v>146</v>
      </c>
      <c r="E85" s="43" t="s">
        <v>81</v>
      </c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3" t="s">
        <v>12</v>
      </c>
      <c r="D86" s="37" t="s">
        <v>147</v>
      </c>
      <c r="E86" s="43" t="s">
        <v>19</v>
      </c>
      <c r="F86" s="47" t="s">
        <v>156</v>
      </c>
      <c r="G86" s="48"/>
      <c r="H86" s="49" t="s">
        <v>19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3" t="s">
        <v>48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4" t="s">
        <v>27</v>
      </c>
      <c r="I89" s="55"/>
      <c r="J89" s="56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4" t="s">
        <v>14</v>
      </c>
      <c r="D90" s="41" t="s">
        <v>158</v>
      </c>
      <c r="E90" s="45" t="s">
        <v>10</v>
      </c>
      <c r="F90" s="47" t="s">
        <v>165</v>
      </c>
      <c r="G90" s="48"/>
      <c r="H90" s="51" t="s">
        <v>10</v>
      </c>
      <c r="I90" s="51"/>
      <c r="J90" s="51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4" t="s">
        <v>94</v>
      </c>
      <c r="D91" s="41" t="s">
        <v>162</v>
      </c>
      <c r="E91" s="45" t="s">
        <v>18</v>
      </c>
      <c r="F91" s="47" t="s">
        <v>166</v>
      </c>
      <c r="G91" s="48"/>
      <c r="H91" s="49" t="s">
        <v>7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4" t="s">
        <v>78</v>
      </c>
      <c r="D92" s="41" t="s">
        <v>160</v>
      </c>
      <c r="E92" s="45" t="s">
        <v>13</v>
      </c>
      <c r="F92" s="47" t="s">
        <v>167</v>
      </c>
      <c r="G92" s="48"/>
      <c r="H92" s="49" t="s">
        <v>78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4" t="s">
        <v>99</v>
      </c>
      <c r="D93" s="41" t="s">
        <v>164</v>
      </c>
      <c r="E93" s="45" t="s">
        <v>19</v>
      </c>
      <c r="F93" s="47" t="s">
        <v>168</v>
      </c>
      <c r="G93" s="48"/>
      <c r="H93" s="49" t="s">
        <v>99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3" t="s">
        <v>52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4" t="s">
        <v>27</v>
      </c>
      <c r="I96" s="55"/>
      <c r="J96" s="56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6" t="s">
        <v>10</v>
      </c>
      <c r="D97" s="40" t="s">
        <v>170</v>
      </c>
      <c r="E97" s="45" t="s">
        <v>7</v>
      </c>
      <c r="F97" s="48" t="s">
        <v>173</v>
      </c>
      <c r="G97" s="48"/>
      <c r="H97" s="51" t="s">
        <v>7</v>
      </c>
      <c r="I97" s="51"/>
      <c r="J97" s="51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6" t="s">
        <v>78</v>
      </c>
      <c r="D98" s="40" t="s">
        <v>172</v>
      </c>
      <c r="E98" s="45" t="s">
        <v>99</v>
      </c>
      <c r="F98" s="48" t="s">
        <v>174</v>
      </c>
      <c r="G98" s="48"/>
      <c r="H98" s="49" t="s">
        <v>78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81" t="s">
        <v>56</v>
      </c>
      <c r="D100" s="60"/>
      <c r="E100" s="60"/>
      <c r="F100" s="60"/>
      <c r="G100" s="9"/>
      <c r="H100" s="54" t="s">
        <v>27</v>
      </c>
      <c r="I100" s="55"/>
      <c r="J100" s="56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2" t="s">
        <v>57</v>
      </c>
      <c r="H101" s="51" t="s">
        <v>7</v>
      </c>
      <c r="I101" s="51"/>
      <c r="J101" s="51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2" t="s">
        <v>58</v>
      </c>
      <c r="H102" s="49" t="s">
        <v>78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14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4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6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164</v>
      </c>
      <c r="G107" s="58"/>
      <c r="H107" s="59"/>
      <c r="I107" s="59"/>
      <c r="J107" s="59"/>
      <c r="K107" s="59"/>
      <c r="L107" s="59"/>
      <c r="M107" s="59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10</v>
      </c>
      <c r="G108" s="58"/>
      <c r="H108" s="59"/>
      <c r="I108" s="59"/>
      <c r="J108" s="59"/>
      <c r="K108" s="59"/>
      <c r="L108" s="59"/>
      <c r="M108" s="59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176</v>
      </c>
      <c r="G110" s="58"/>
      <c r="H110" s="59"/>
      <c r="I110" s="59"/>
      <c r="J110" s="59"/>
      <c r="K110" s="59"/>
      <c r="L110" s="59"/>
      <c r="M110" s="59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SR5VW07OKeDrPvpLal+zoHjAn8X6AkJ9YBtY8NKNro1D+vut4RlhCI6Wd8/J1BLhci83IpAxcpG3SjYeflDO5g==" saltValue="sGTtQ+EMU+2qQ5a4rl4ZaQ==" spinCount="100000" sheet="1" objects="1" scenarios="1"/>
  <sortState xmlns:xlrd2="http://schemas.microsoft.com/office/spreadsheetml/2017/richdata2" ref="O5:O52">
    <sortCondition ref="O5:O52"/>
  </sortState>
  <mergeCells count="191"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cp:lastPrinted>2026-05-28T14:47:34Z</cp:lastPrinted>
  <dcterms:created xsi:type="dcterms:W3CDTF">2016-06-06T06:02:43Z</dcterms:created>
  <dcterms:modified xsi:type="dcterms:W3CDTF">2026-06-11T18:51:45Z</dcterms:modified>
  <cp:category/>
  <cp:contentStatus/>
</cp:coreProperties>
</file>