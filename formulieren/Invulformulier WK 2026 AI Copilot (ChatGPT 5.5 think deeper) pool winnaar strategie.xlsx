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aterproef-my.sharepoint.com/personal/a_potjes_waterproef_nl/Documents/Documenten/Overig/"/>
    </mc:Choice>
  </mc:AlternateContent>
  <xr:revisionPtr revIDLastSave="0" documentId="8_{9F5546AB-CC1A-4D78-9B3E-72CDE43F15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ulformul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56" i="1" s="1"/>
  <c r="G21" i="1"/>
  <c r="E21" i="1"/>
  <c r="E56" i="1" s="1"/>
  <c r="B21" i="1"/>
  <c r="B56" i="1" s="1"/>
  <c r="I20" i="1"/>
  <c r="I55" i="1" s="1"/>
  <c r="G20" i="1"/>
  <c r="G55" i="1" s="1"/>
  <c r="E20" i="1"/>
  <c r="E55" i="1" s="1"/>
  <c r="B20" i="1"/>
  <c r="I19" i="1"/>
  <c r="G19" i="1"/>
  <c r="G54" i="1" s="1"/>
  <c r="E19" i="1"/>
  <c r="B19" i="1"/>
  <c r="B54" i="1" s="1"/>
  <c r="I18" i="1"/>
  <c r="G18" i="1"/>
  <c r="E18" i="1"/>
  <c r="B18" i="1"/>
  <c r="I15" i="1"/>
  <c r="I50" i="1" s="1"/>
  <c r="G15" i="1"/>
  <c r="G50" i="1" s="1"/>
  <c r="E15" i="1"/>
  <c r="B15" i="1"/>
  <c r="B50" i="1" s="1"/>
  <c r="I14" i="1"/>
  <c r="I49" i="1" s="1"/>
  <c r="G14" i="1"/>
  <c r="E14" i="1"/>
  <c r="B14" i="1"/>
  <c r="I13" i="1"/>
  <c r="I48" i="1" s="1"/>
  <c r="G13" i="1"/>
  <c r="G48" i="1" s="1"/>
  <c r="E13" i="1"/>
  <c r="B13" i="1"/>
  <c r="I12" i="1"/>
  <c r="I47" i="1" s="1"/>
  <c r="G12" i="1"/>
  <c r="E12" i="1"/>
  <c r="B12" i="1"/>
  <c r="I9" i="1"/>
  <c r="G9" i="1"/>
  <c r="G44" i="1" s="1"/>
  <c r="E9" i="1"/>
  <c r="E44" i="1" s="1"/>
  <c r="B9" i="1"/>
  <c r="B44" i="1" s="1"/>
  <c r="I8" i="1"/>
  <c r="G8" i="1"/>
  <c r="G43" i="1" s="1"/>
  <c r="E8" i="1"/>
  <c r="E43" i="1" s="1"/>
  <c r="B8" i="1"/>
  <c r="B43" i="1" s="1"/>
  <c r="I7" i="1"/>
  <c r="G7" i="1"/>
  <c r="G42" i="1" s="1"/>
  <c r="E7" i="1"/>
  <c r="E42" i="1" s="1"/>
  <c r="B7" i="1"/>
  <c r="I6" i="1"/>
  <c r="G6" i="1"/>
  <c r="G41" i="1" s="1"/>
  <c r="E6" i="1"/>
  <c r="E41" i="1" s="1"/>
  <c r="B6" i="1"/>
  <c r="B41" i="1" l="1"/>
  <c r="E25" i="1"/>
  <c r="I41" i="1"/>
  <c r="E26" i="1"/>
  <c r="B42" i="1"/>
  <c r="G25" i="1"/>
  <c r="I42" i="1"/>
  <c r="G26" i="1"/>
  <c r="I43" i="1"/>
  <c r="E27" i="1"/>
  <c r="I44" i="1"/>
  <c r="G27" i="1"/>
  <c r="B47" i="1"/>
  <c r="E29" i="1"/>
  <c r="E47" i="1"/>
  <c r="G35" i="1"/>
  <c r="E32" i="1"/>
  <c r="E28" i="1"/>
  <c r="G47" i="1"/>
  <c r="E33" i="1"/>
  <c r="B48" i="1"/>
  <c r="E36" i="1"/>
  <c r="G29" i="1"/>
  <c r="E48" i="1"/>
  <c r="G28" i="1"/>
  <c r="B49" i="1"/>
  <c r="G36" i="1"/>
  <c r="E49" i="1"/>
  <c r="G32" i="1"/>
  <c r="G49" i="1"/>
  <c r="G33" i="1"/>
  <c r="E50" i="1"/>
  <c r="E35" i="1"/>
  <c r="B53" i="1"/>
  <c r="E34" i="1"/>
  <c r="E53" i="1"/>
  <c r="E30" i="1"/>
  <c r="G53" i="1"/>
  <c r="G37" i="1"/>
  <c r="I53" i="1"/>
  <c r="E31" i="1"/>
  <c r="E54" i="1"/>
  <c r="G30" i="1"/>
  <c r="I54" i="1"/>
  <c r="G31" i="1"/>
  <c r="B55" i="1"/>
  <c r="G34" i="1"/>
  <c r="G56" i="1"/>
  <c r="E37" i="1"/>
</calcChain>
</file>

<file path=xl/sharedStrings.xml><?xml version="1.0" encoding="utf-8"?>
<sst xmlns="http://schemas.openxmlformats.org/spreadsheetml/2006/main" count="310" uniqueCount="178">
  <si>
    <t>Waterproef - WK 2026 Invulformulier</t>
  </si>
  <si>
    <t>Ingevuld door:</t>
  </si>
  <si>
    <t>Groepen</t>
  </si>
  <si>
    <t>Poule</t>
  </si>
  <si>
    <t>Draaitabel</t>
  </si>
  <si>
    <t>A</t>
  </si>
  <si>
    <t>B</t>
  </si>
  <si>
    <t>C</t>
  </si>
  <si>
    <t>D</t>
  </si>
  <si>
    <t>Mexico</t>
  </si>
  <si>
    <t>Algerije</t>
  </si>
  <si>
    <t>Zuid-Afrika</t>
  </si>
  <si>
    <t>Argentinië</t>
  </si>
  <si>
    <t>Zuid-Korea</t>
  </si>
  <si>
    <t>Australië</t>
  </si>
  <si>
    <t>Tsjechië</t>
  </si>
  <si>
    <t>België</t>
  </si>
  <si>
    <t>Canada</t>
  </si>
  <si>
    <t>Bosnië-Herzegovina</t>
  </si>
  <si>
    <t>Brazilië</t>
  </si>
  <si>
    <t>E</t>
  </si>
  <si>
    <t>F</t>
  </si>
  <si>
    <t>G</t>
  </si>
  <si>
    <t>H</t>
  </si>
  <si>
    <t>Qatar</t>
  </si>
  <si>
    <t>Zwitserland</t>
  </si>
  <si>
    <t>Colombia</t>
  </si>
  <si>
    <t>Curaçao</t>
  </si>
  <si>
    <t>Marokko</t>
  </si>
  <si>
    <t>DR Congo</t>
  </si>
  <si>
    <t>Haïti</t>
  </si>
  <si>
    <t>Duitsland</t>
  </si>
  <si>
    <t>Schotland</t>
  </si>
  <si>
    <t>Ecuador</t>
  </si>
  <si>
    <t>I</t>
  </si>
  <si>
    <t>J</t>
  </si>
  <si>
    <t>K</t>
  </si>
  <si>
    <t>L</t>
  </si>
  <si>
    <t>Verenigde Staten</t>
  </si>
  <si>
    <t>Egypte</t>
  </si>
  <si>
    <t>Paraguay</t>
  </si>
  <si>
    <t>Engeland</t>
  </si>
  <si>
    <t>Frankrijk</t>
  </si>
  <si>
    <t>Turkije</t>
  </si>
  <si>
    <t>Ghana</t>
  </si>
  <si>
    <t>Irak</t>
  </si>
  <si>
    <t>Wedstrijden in de groepen (Vul hier voor elke wedstrijd de uitslag in)</t>
  </si>
  <si>
    <t>Ivoorkust</t>
  </si>
  <si>
    <t>Iran</t>
  </si>
  <si>
    <t>Uitslag</t>
  </si>
  <si>
    <t>-</t>
  </si>
  <si>
    <t>Nederland</t>
  </si>
  <si>
    <t>Japan</t>
  </si>
  <si>
    <t>Jordanië</t>
  </si>
  <si>
    <t>Zweden</t>
  </si>
  <si>
    <t>Kaapverdië</t>
  </si>
  <si>
    <t>Tunesië</t>
  </si>
  <si>
    <t>Kroatië</t>
  </si>
  <si>
    <t>Nieuw-Zeeland</t>
  </si>
  <si>
    <t>Spanje</t>
  </si>
  <si>
    <t>Noorwegen</t>
  </si>
  <si>
    <t>Oezbekistan</t>
  </si>
  <si>
    <t>Saoedi-Arabië</t>
  </si>
  <si>
    <t>Oostenrijk</t>
  </si>
  <si>
    <t>Uruguay</t>
  </si>
  <si>
    <t>Panama</t>
  </si>
  <si>
    <t>Senegal</t>
  </si>
  <si>
    <t>Portugal</t>
  </si>
  <si>
    <t>Eindstanden in de groepen (Vul hier voor elk land de eindplaatsing in)</t>
  </si>
  <si>
    <t>Plaats</t>
  </si>
  <si>
    <t>Zestiende finales (Vul hier voor elke wedstrijd het land dat wint in)</t>
  </si>
  <si>
    <t>Land</t>
  </si>
  <si>
    <t>A2</t>
  </si>
  <si>
    <t>B2</t>
  </si>
  <si>
    <t>Winnaar (1)      =</t>
  </si>
  <si>
    <t>C1</t>
  </si>
  <si>
    <t>F2</t>
  </si>
  <si>
    <t>Winnaar (2)      =</t>
  </si>
  <si>
    <t>E1</t>
  </si>
  <si>
    <t>3 A/B/C/D/F</t>
  </si>
  <si>
    <t>Winnaar (3)      =</t>
  </si>
  <si>
    <t>F1</t>
  </si>
  <si>
    <t>C2</t>
  </si>
  <si>
    <t>Winnaar (4)      =</t>
  </si>
  <si>
    <t>E2</t>
  </si>
  <si>
    <t>I2</t>
  </si>
  <si>
    <t>Winnaar (5)      =</t>
  </si>
  <si>
    <t>I1</t>
  </si>
  <si>
    <t>3 C/D/F/G/H</t>
  </si>
  <si>
    <t>Winnaar (6)      =</t>
  </si>
  <si>
    <t>A1</t>
  </si>
  <si>
    <t>3 C/E/F/H/I</t>
  </si>
  <si>
    <t>Winnaar (7)      =</t>
  </si>
  <si>
    <t>L1</t>
  </si>
  <si>
    <t>3 E/H/I/J/K</t>
  </si>
  <si>
    <t>Winnaar (8)      =</t>
  </si>
  <si>
    <t>G1</t>
  </si>
  <si>
    <t>3 A/E/H/I/J</t>
  </si>
  <si>
    <t>Winnaar (9)      =</t>
  </si>
  <si>
    <t>D1</t>
  </si>
  <si>
    <t>3 B/E/F/I/J</t>
  </si>
  <si>
    <t>Winnaar (10)      =</t>
  </si>
  <si>
    <t>H1</t>
  </si>
  <si>
    <t>J2</t>
  </si>
  <si>
    <t>Winnaar (11)      =</t>
  </si>
  <si>
    <t>K2</t>
  </si>
  <si>
    <t>L2</t>
  </si>
  <si>
    <t>Winnaar (12)      =</t>
  </si>
  <si>
    <t>B1</t>
  </si>
  <si>
    <t>3 E/F/G/I/J</t>
  </si>
  <si>
    <t>Winnaar (13)      =</t>
  </si>
  <si>
    <t>D2</t>
  </si>
  <si>
    <t>G2</t>
  </si>
  <si>
    <t>Winnaar (14)      =</t>
  </si>
  <si>
    <t>J1</t>
  </si>
  <si>
    <t>H2</t>
  </si>
  <si>
    <t>Winnaar (15)      =</t>
  </si>
  <si>
    <t>K1</t>
  </si>
  <si>
    <t>3 D/E/I/J/L</t>
  </si>
  <si>
    <t>Winnaar (16)      =</t>
  </si>
  <si>
    <t>Achtste finales (Vul hier voor elke wedstrijd het land dat wint in)</t>
  </si>
  <si>
    <t>W1</t>
  </si>
  <si>
    <t>W4</t>
  </si>
  <si>
    <t>Winnaar (17)      =</t>
  </si>
  <si>
    <t>W3</t>
  </si>
  <si>
    <t>W6</t>
  </si>
  <si>
    <t>Winnaar (18)      =</t>
  </si>
  <si>
    <t>W2</t>
  </si>
  <si>
    <t>W5</t>
  </si>
  <si>
    <t>Winnaar (19)      =</t>
  </si>
  <si>
    <t>W7</t>
  </si>
  <si>
    <t>W8</t>
  </si>
  <si>
    <t>Winnaar (20)      =</t>
  </si>
  <si>
    <t>W12</t>
  </si>
  <si>
    <t>W11</t>
  </si>
  <si>
    <t>Winnaar (21)      =</t>
  </si>
  <si>
    <t>W10</t>
  </si>
  <si>
    <t>W9</t>
  </si>
  <si>
    <t>Winnaar (22)      =</t>
  </si>
  <si>
    <t>W15</t>
  </si>
  <si>
    <t>W14</t>
  </si>
  <si>
    <t>Winnaar (23)      =</t>
  </si>
  <si>
    <t>W13</t>
  </si>
  <si>
    <t>W16</t>
  </si>
  <si>
    <t>Winnaar (24)      =</t>
  </si>
  <si>
    <t>Kwart finales (Vul hier voor elke wedstrijd het land dat wint in)</t>
  </si>
  <si>
    <t>(W18)</t>
  </si>
  <si>
    <t>(W17)</t>
  </si>
  <si>
    <t>Winnaar (25)        =</t>
  </si>
  <si>
    <t>(W21)</t>
  </si>
  <si>
    <t>(W22)</t>
  </si>
  <si>
    <t>Winnaar (26)      =</t>
  </si>
  <si>
    <t>(W19)</t>
  </si>
  <si>
    <t>(W20)</t>
  </si>
  <si>
    <t>Winnaar (27)      =</t>
  </si>
  <si>
    <t>(W23)</t>
  </si>
  <si>
    <t>(W24)</t>
  </si>
  <si>
    <t>Winnaar (28)      =</t>
  </si>
  <si>
    <t>Halve finales (Vul hier voor elke wedstrijd het land dat wint in)</t>
  </si>
  <si>
    <t>(W25)</t>
  </si>
  <si>
    <t>(W26)</t>
  </si>
  <si>
    <t>Winnaar (29)      =</t>
  </si>
  <si>
    <t>(W27)</t>
  </si>
  <si>
    <t>(W28)</t>
  </si>
  <si>
    <t>Winnaar (30)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</si>
  <si>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</si>
  <si>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</si>
  <si>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</si>
  <si>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</si>
  <si>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</si>
  <si>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</si>
  <si>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</si>
  <si>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</si>
  <si>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</si>
  <si>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</si>
  <si>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</si>
  <si>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Kylian Mbappé</t>
  </si>
  <si>
    <t>AI (Copilot)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</si>
</sst>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19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2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3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5" xfId="0" applyFill="1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1" fillId="2" borderId="6" xfId="0" applyFont="1" applyFill="1" applyBorder="1" applyAlignment="1">
      <alignment horizontal="center"/>
    </xf>
    <xf numFmtId="0" fontId="0" fillId="0" borderId="8" xfId="0" applyBorder="1"/>
    <xf numFmtId="0" fontId="0" fillId="0" borderId="3" xfId="0" applyBorder="1"/>
    <xf numFmtId="0" fontId="0" fillId="2" borderId="17" xfId="0" applyFill="1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5" borderId="12" xfId="0" applyFill="1" applyBorder="1" applyAlignment="1">
      <alignment horizontal="left"/>
    </xf>
    <xf numFmtId="0" fontId="0" fillId="0" borderId="0" xfId="0"/>
    <xf numFmtId="164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3" borderId="5" xfId="0" applyFill="1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0" fillId="0" borderId="4" xfId="0" applyBorder="1" applyProtection="1"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3" xfId="0" applyBorder="1" applyProtection="1">
      <protection locked="0"/>
    </xf>
    <xf numFmtId="0" fontId="1" fillId="2" borderId="25" xfId="0" applyFont="1" applyFill="1" applyBorder="1" applyAlignment="1">
      <alignment horizontal="center"/>
    </xf>
    <xf numFmtId="0" fontId="0" fillId="0" borderId="20" xfId="0" applyBorder="1"/>
    <xf numFmtId="0" fontId="0" fillId="2" borderId="18" xfId="0" applyFill="1" applyBorder="1" applyAlignment="1">
      <alignment horizontal="center"/>
    </xf>
    <xf numFmtId="0" fontId="0" fillId="0" borderId="26" xfId="0" applyBorder="1"/>
    <xf numFmtId="0" fontId="0" fillId="2" borderId="27" xfId="0" applyFill="1" applyBorder="1" applyAlignment="1">
      <alignment horizontal="center"/>
    </xf>
    <xf numFmtId="0" fontId="0" fillId="0" borderId="16" xfId="0" applyBorder="1"/>
    <xf numFmtId="0" fontId="0" fillId="0" borderId="21" xfId="0" applyBorder="1"/>
    <xf numFmtId="0" fontId="1" fillId="5" borderId="0" xfId="0" applyFont="1" applyFill="1" applyAlignment="1">
      <alignment horizontal="left"/>
    </xf>
    <xf numFmtId="0" fontId="0" fillId="2" borderId="0" xfId="0" applyFill="1"/>
    <xf numFmtId="0" fontId="0" fillId="5" borderId="0" xfId="0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5" borderId="0" xfId="0" quotePrefix="1" applyFill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5" borderId="15" xfId="0" applyFont="1" applyFill="1" applyBorder="1" applyAlignment="1">
      <alignment horizontal="left"/>
    </xf>
    <xf numFmtId="0" fontId="0" fillId="0" borderId="15" xfId="0" applyBorder="1"/>
    <xf numFmtId="0" fontId="1" fillId="5" borderId="13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4"/>
  <sheetViews>
    <sheetView tabSelected="1" zoomScale="85" zoomScaleNormal="85" workbookViewId="0">
      <selection activeCell="K26" sqref="K26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6" width="9.140625" hidden="1" customWidth="1"/>
    <col min="17" max="16384" width="9.140625" hidden="1"/>
  </cols>
  <sheetData>
    <row r="1" spans="1:15" ht="15.75" customHeight="1" thickBot="1" x14ac:dyDescent="0.3">
      <c r="A1" s="9"/>
      <c r="B1" s="9"/>
      <c r="C1" s="9"/>
      <c r="D1" s="9"/>
      <c r="E1" s="9"/>
      <c r="F1" s="9"/>
      <c r="G1" s="9"/>
      <c r="H1" s="9"/>
      <c r="I1" s="79"/>
      <c r="J1" s="57"/>
      <c r="K1" s="57"/>
      <c r="L1" s="10"/>
      <c r="M1" s="10"/>
      <c r="N1" s="10"/>
      <c r="O1" s="11"/>
    </row>
    <row r="2" spans="1:15" s="15" customFormat="1" ht="20.25" customHeight="1" thickTop="1" thickBot="1" x14ac:dyDescent="0.35">
      <c r="A2" s="9"/>
      <c r="B2" s="82" t="s">
        <v>0</v>
      </c>
      <c r="C2" s="83"/>
      <c r="D2" s="83"/>
      <c r="E2" s="84"/>
      <c r="F2" s="9"/>
      <c r="G2" s="12" t="s">
        <v>1</v>
      </c>
      <c r="H2" s="66" t="s">
        <v>177</v>
      </c>
      <c r="I2" s="64"/>
      <c r="J2" s="64"/>
      <c r="K2" s="64"/>
      <c r="L2" s="65"/>
      <c r="M2" s="13"/>
      <c r="N2" s="14"/>
      <c r="O2" s="11"/>
    </row>
    <row r="3" spans="1:15" s="15" customFormat="1" ht="15.75" customHeight="1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customHeight="1" thickBot="1" x14ac:dyDescent="0.3">
      <c r="A4" s="9"/>
      <c r="B4" s="85" t="s">
        <v>2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11"/>
      <c r="N4" s="16" t="s">
        <v>3</v>
      </c>
      <c r="O4" s="16" t="s">
        <v>4</v>
      </c>
    </row>
    <row r="5" spans="1:15" s="15" customFormat="1" ht="15.75" customHeight="1" thickTop="1" x14ac:dyDescent="0.25">
      <c r="A5" s="9"/>
      <c r="B5" s="50" t="s">
        <v>5</v>
      </c>
      <c r="C5" s="51"/>
      <c r="D5" s="52"/>
      <c r="E5" s="50" t="s">
        <v>6</v>
      </c>
      <c r="F5" s="52"/>
      <c r="G5" s="50" t="s">
        <v>7</v>
      </c>
      <c r="H5" s="52"/>
      <c r="I5" s="50" t="s">
        <v>8</v>
      </c>
      <c r="J5" s="51"/>
      <c r="K5" s="51"/>
      <c r="L5" s="52"/>
      <c r="M5" s="17"/>
      <c r="N5" s="18" t="s">
        <v>9</v>
      </c>
      <c r="O5" s="19" t="s">
        <v>10</v>
      </c>
    </row>
    <row r="6" spans="1:15" s="15" customFormat="1" ht="15" customHeight="1" x14ac:dyDescent="0.25">
      <c r="A6" s="9"/>
      <c r="B6" s="47" t="str">
        <f>N5</f>
        <v>Mexico</v>
      </c>
      <c r="C6" s="49"/>
      <c r="D6" s="48"/>
      <c r="E6" s="47" t="str">
        <f>N9</f>
        <v>Canada</v>
      </c>
      <c r="F6" s="48"/>
      <c r="G6" s="47" t="str">
        <f>N13</f>
        <v>Brazilië</v>
      </c>
      <c r="H6" s="48"/>
      <c r="I6" s="47" t="str">
        <f>N17</f>
        <v>Verenigde Staten</v>
      </c>
      <c r="J6" s="49"/>
      <c r="K6" s="49"/>
      <c r="L6" s="48"/>
      <c r="M6" s="20"/>
      <c r="N6" s="18" t="s">
        <v>11</v>
      </c>
      <c r="O6" s="19" t="s">
        <v>12</v>
      </c>
    </row>
    <row r="7" spans="1:15" s="15" customFormat="1" ht="15" customHeight="1" x14ac:dyDescent="0.25">
      <c r="A7" s="9"/>
      <c r="B7" s="47" t="str">
        <f>N6</f>
        <v>Zuid-Afrika</v>
      </c>
      <c r="C7" s="49"/>
      <c r="D7" s="48"/>
      <c r="E7" s="47" t="str">
        <f>N10</f>
        <v>Bosnië-Herzegovina</v>
      </c>
      <c r="F7" s="48"/>
      <c r="G7" s="47" t="str">
        <f>N14</f>
        <v>Marokko</v>
      </c>
      <c r="H7" s="48"/>
      <c r="I7" s="47" t="str">
        <f>N18</f>
        <v>Paraguay</v>
      </c>
      <c r="J7" s="49"/>
      <c r="K7" s="49"/>
      <c r="L7" s="48"/>
      <c r="M7" s="20"/>
      <c r="N7" s="18" t="s">
        <v>13</v>
      </c>
      <c r="O7" s="19" t="s">
        <v>14</v>
      </c>
    </row>
    <row r="8" spans="1:15" s="15" customFormat="1" ht="15" customHeight="1" x14ac:dyDescent="0.25">
      <c r="A8" s="9"/>
      <c r="B8" s="47" t="str">
        <f>N7</f>
        <v>Zuid-Korea</v>
      </c>
      <c r="C8" s="49"/>
      <c r="D8" s="48"/>
      <c r="E8" s="47" t="str">
        <f>N11</f>
        <v>Qatar</v>
      </c>
      <c r="F8" s="48"/>
      <c r="G8" s="47" t="str">
        <f>N15</f>
        <v>Haïti</v>
      </c>
      <c r="H8" s="48"/>
      <c r="I8" s="47" t="str">
        <f>N19</f>
        <v>Australië</v>
      </c>
      <c r="J8" s="49"/>
      <c r="K8" s="49"/>
      <c r="L8" s="48"/>
      <c r="M8" s="20"/>
      <c r="N8" s="18" t="s">
        <v>15</v>
      </c>
      <c r="O8" s="19" t="s">
        <v>16</v>
      </c>
    </row>
    <row r="9" spans="1:15" s="15" customFormat="1" ht="15.75" customHeight="1" thickBot="1" x14ac:dyDescent="0.3">
      <c r="A9" s="9"/>
      <c r="B9" s="60" t="str">
        <f>N8</f>
        <v>Tsjechië</v>
      </c>
      <c r="C9" s="61"/>
      <c r="D9" s="62"/>
      <c r="E9" s="47" t="str">
        <f>N12</f>
        <v>Zwitserland</v>
      </c>
      <c r="F9" s="48"/>
      <c r="G9" s="47" t="str">
        <f>N16</f>
        <v>Schotland</v>
      </c>
      <c r="H9" s="48"/>
      <c r="I9" s="47" t="str">
        <f>N20</f>
        <v>Turkije</v>
      </c>
      <c r="J9" s="49"/>
      <c r="K9" s="49"/>
      <c r="L9" s="48"/>
      <c r="M9" s="20"/>
      <c r="N9" s="21" t="s">
        <v>17</v>
      </c>
      <c r="O9" s="19" t="s">
        <v>18</v>
      </c>
    </row>
    <row r="10" spans="1:15" s="15" customFormat="1" ht="16.5" customHeight="1" thickTop="1" thickBot="1" x14ac:dyDescent="0.3">
      <c r="A10" s="9"/>
      <c r="B10" s="87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11"/>
      <c r="N10" s="21" t="s">
        <v>18</v>
      </c>
      <c r="O10" s="19" t="s">
        <v>19</v>
      </c>
    </row>
    <row r="11" spans="1:15" s="15" customFormat="1" ht="15.75" customHeight="1" thickTop="1" x14ac:dyDescent="0.25">
      <c r="A11" s="9"/>
      <c r="B11" s="50" t="s">
        <v>20</v>
      </c>
      <c r="C11" s="51"/>
      <c r="D11" s="52"/>
      <c r="E11" s="50" t="s">
        <v>21</v>
      </c>
      <c r="F11" s="52"/>
      <c r="G11" s="50" t="s">
        <v>22</v>
      </c>
      <c r="H11" s="52"/>
      <c r="I11" s="50" t="s">
        <v>23</v>
      </c>
      <c r="J11" s="51"/>
      <c r="K11" s="51"/>
      <c r="L11" s="52"/>
      <c r="M11" s="11"/>
      <c r="N11" s="21" t="s">
        <v>24</v>
      </c>
      <c r="O11" s="19" t="s">
        <v>17</v>
      </c>
    </row>
    <row r="12" spans="1:15" s="15" customFormat="1" ht="15" customHeight="1" x14ac:dyDescent="0.25">
      <c r="A12" s="9"/>
      <c r="B12" s="47" t="str">
        <f>N21</f>
        <v>Duitsland</v>
      </c>
      <c r="C12" s="49"/>
      <c r="D12" s="48"/>
      <c r="E12" s="47" t="str">
        <f>N25</f>
        <v>Nederland</v>
      </c>
      <c r="F12" s="48"/>
      <c r="G12" s="47" t="str">
        <f>N29</f>
        <v>België</v>
      </c>
      <c r="H12" s="48"/>
      <c r="I12" s="47" t="str">
        <f>N33</f>
        <v>Spanje</v>
      </c>
      <c r="J12" s="49"/>
      <c r="K12" s="49"/>
      <c r="L12" s="48"/>
      <c r="M12" s="10"/>
      <c r="N12" s="21" t="s">
        <v>25</v>
      </c>
      <c r="O12" s="19" t="s">
        <v>26</v>
      </c>
    </row>
    <row r="13" spans="1:15" s="15" customFormat="1" ht="15" customHeight="1" x14ac:dyDescent="0.25">
      <c r="A13" s="9"/>
      <c r="B13" s="47" t="str">
        <f>N22</f>
        <v>Curaçao</v>
      </c>
      <c r="C13" s="49"/>
      <c r="D13" s="48"/>
      <c r="E13" s="47" t="str">
        <f>N26</f>
        <v>Japan</v>
      </c>
      <c r="F13" s="48"/>
      <c r="G13" s="47" t="str">
        <f>N30</f>
        <v>Egypte</v>
      </c>
      <c r="H13" s="48"/>
      <c r="I13" s="47" t="str">
        <f>N34</f>
        <v>Kaapverdië</v>
      </c>
      <c r="J13" s="49"/>
      <c r="K13" s="49"/>
      <c r="L13" s="48"/>
      <c r="M13" s="10"/>
      <c r="N13" s="21" t="s">
        <v>19</v>
      </c>
      <c r="O13" s="19" t="s">
        <v>27</v>
      </c>
    </row>
    <row r="14" spans="1:15" s="15" customFormat="1" ht="15" customHeight="1" x14ac:dyDescent="0.25">
      <c r="A14" s="9"/>
      <c r="B14" s="47" t="str">
        <f>N23</f>
        <v>Ivoorkust</v>
      </c>
      <c r="C14" s="49"/>
      <c r="D14" s="48"/>
      <c r="E14" s="47" t="str">
        <f>N27</f>
        <v>Zweden</v>
      </c>
      <c r="F14" s="48"/>
      <c r="G14" s="47" t="str">
        <f>N31</f>
        <v>Iran</v>
      </c>
      <c r="H14" s="48"/>
      <c r="I14" s="47" t="str">
        <f>N35</f>
        <v>Saoedi-Arabië</v>
      </c>
      <c r="J14" s="49"/>
      <c r="K14" s="49"/>
      <c r="L14" s="48"/>
      <c r="M14" s="10"/>
      <c r="N14" s="21" t="s">
        <v>28</v>
      </c>
      <c r="O14" s="19" t="s">
        <v>29</v>
      </c>
    </row>
    <row r="15" spans="1:15" s="15" customFormat="1" ht="15.75" customHeight="1" thickBot="1" x14ac:dyDescent="0.3">
      <c r="A15" s="9"/>
      <c r="B15" s="47" t="str">
        <f>N24</f>
        <v>Ecuador</v>
      </c>
      <c r="C15" s="49"/>
      <c r="D15" s="48"/>
      <c r="E15" s="47" t="str">
        <f>N28</f>
        <v>Tunesië</v>
      </c>
      <c r="F15" s="48"/>
      <c r="G15" s="47" t="str">
        <f>N32</f>
        <v>Nieuw-Zeeland</v>
      </c>
      <c r="H15" s="48"/>
      <c r="I15" s="47" t="str">
        <f>N36</f>
        <v>Uruguay</v>
      </c>
      <c r="J15" s="49"/>
      <c r="K15" s="49"/>
      <c r="L15" s="48"/>
      <c r="M15" s="10"/>
      <c r="N15" s="21" t="s">
        <v>30</v>
      </c>
      <c r="O15" s="19" t="s">
        <v>31</v>
      </c>
    </row>
    <row r="16" spans="1:15" s="15" customFormat="1" ht="16.5" customHeight="1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32</v>
      </c>
      <c r="O16" s="19" t="s">
        <v>33</v>
      </c>
    </row>
    <row r="17" spans="1:15" s="15" customFormat="1" ht="15.75" customHeight="1" thickTop="1" x14ac:dyDescent="0.25">
      <c r="A17" s="9"/>
      <c r="B17" s="50" t="s">
        <v>34</v>
      </c>
      <c r="C17" s="51"/>
      <c r="D17" s="52"/>
      <c r="E17" s="50" t="s">
        <v>35</v>
      </c>
      <c r="F17" s="52"/>
      <c r="G17" s="50" t="s">
        <v>36</v>
      </c>
      <c r="H17" s="52"/>
      <c r="I17" s="50" t="s">
        <v>37</v>
      </c>
      <c r="J17" s="51"/>
      <c r="K17" s="51"/>
      <c r="L17" s="52"/>
      <c r="M17" s="10"/>
      <c r="N17" s="21" t="s">
        <v>38</v>
      </c>
      <c r="O17" s="19" t="s">
        <v>39</v>
      </c>
    </row>
    <row r="18" spans="1:15" s="15" customFormat="1" ht="15" customHeight="1" x14ac:dyDescent="0.25">
      <c r="A18" s="9"/>
      <c r="B18" s="47" t="str">
        <f>N37</f>
        <v>Frankrijk</v>
      </c>
      <c r="C18" s="49"/>
      <c r="D18" s="48"/>
      <c r="E18" s="47" t="str">
        <f>N41</f>
        <v>Argentinië</v>
      </c>
      <c r="F18" s="48"/>
      <c r="G18" s="47" t="str">
        <f>N45</f>
        <v>Portugal</v>
      </c>
      <c r="H18" s="48"/>
      <c r="I18" s="47" t="str">
        <f>N49</f>
        <v>Engeland</v>
      </c>
      <c r="J18" s="49"/>
      <c r="K18" s="49"/>
      <c r="L18" s="48"/>
      <c r="M18" s="10"/>
      <c r="N18" s="21" t="s">
        <v>40</v>
      </c>
      <c r="O18" s="19" t="s">
        <v>41</v>
      </c>
    </row>
    <row r="19" spans="1:15" s="15" customFormat="1" ht="15" customHeight="1" x14ac:dyDescent="0.25">
      <c r="A19" s="9"/>
      <c r="B19" s="47" t="str">
        <f>N38</f>
        <v>Senegal</v>
      </c>
      <c r="C19" s="49"/>
      <c r="D19" s="48"/>
      <c r="E19" s="47" t="str">
        <f>N42</f>
        <v>Algerije</v>
      </c>
      <c r="F19" s="48"/>
      <c r="G19" s="47" t="str">
        <f>N46</f>
        <v>DR Congo</v>
      </c>
      <c r="H19" s="48"/>
      <c r="I19" s="47" t="str">
        <f>N50</f>
        <v>Kroatië</v>
      </c>
      <c r="J19" s="49"/>
      <c r="K19" s="49"/>
      <c r="L19" s="48"/>
      <c r="M19" s="10"/>
      <c r="N19" s="21" t="s">
        <v>14</v>
      </c>
      <c r="O19" s="19" t="s">
        <v>42</v>
      </c>
    </row>
    <row r="20" spans="1:15" s="15" customFormat="1" ht="15" customHeight="1" x14ac:dyDescent="0.25">
      <c r="A20" s="9"/>
      <c r="B20" s="47" t="str">
        <f>N39</f>
        <v>Irak</v>
      </c>
      <c r="C20" s="49"/>
      <c r="D20" s="48"/>
      <c r="E20" s="47" t="str">
        <f>N43</f>
        <v>Oostenrijk</v>
      </c>
      <c r="F20" s="48"/>
      <c r="G20" s="47" t="str">
        <f>N47</f>
        <v>Oezbekistan</v>
      </c>
      <c r="H20" s="48"/>
      <c r="I20" s="47" t="str">
        <f>N51</f>
        <v>Ghana</v>
      </c>
      <c r="J20" s="49"/>
      <c r="K20" s="49"/>
      <c r="L20" s="48"/>
      <c r="M20" s="10"/>
      <c r="N20" s="21" t="s">
        <v>43</v>
      </c>
      <c r="O20" s="19" t="s">
        <v>44</v>
      </c>
    </row>
    <row r="21" spans="1:15" s="15" customFormat="1" ht="15" customHeight="1" x14ac:dyDescent="0.25">
      <c r="A21" s="9"/>
      <c r="B21" s="47" t="str">
        <f>N40</f>
        <v>Noorwegen</v>
      </c>
      <c r="C21" s="49"/>
      <c r="D21" s="48"/>
      <c r="E21" s="47" t="str">
        <f>N44</f>
        <v>Jordanië</v>
      </c>
      <c r="F21" s="48"/>
      <c r="G21" s="47" t="str">
        <f>N48</f>
        <v>Colombia</v>
      </c>
      <c r="H21" s="48"/>
      <c r="I21" s="47" t="str">
        <f>N52</f>
        <v>Panama</v>
      </c>
      <c r="J21" s="49"/>
      <c r="K21" s="49"/>
      <c r="L21" s="48"/>
      <c r="M21" s="10"/>
      <c r="N21" s="21" t="s">
        <v>31</v>
      </c>
      <c r="O21" s="19" t="s">
        <v>30</v>
      </c>
    </row>
    <row r="22" spans="1:15" s="15" customFormat="1" ht="15" customHeight="1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27</v>
      </c>
      <c r="O22" s="19" t="s">
        <v>45</v>
      </c>
    </row>
    <row r="23" spans="1:15" s="15" customFormat="1" ht="15" customHeight="1" x14ac:dyDescent="0.25">
      <c r="A23" s="9"/>
      <c r="B23" s="23" t="s">
        <v>46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47</v>
      </c>
      <c r="O23" s="19" t="s">
        <v>48</v>
      </c>
    </row>
    <row r="24" spans="1:15" s="15" customFormat="1" ht="15.75" customHeight="1" thickBot="1" x14ac:dyDescent="0.3">
      <c r="A24" s="9"/>
      <c r="B24" s="24"/>
      <c r="C24" s="24"/>
      <c r="D24" s="24"/>
      <c r="E24" s="9"/>
      <c r="F24" s="9"/>
      <c r="G24" s="9"/>
      <c r="H24" s="80" t="s">
        <v>49</v>
      </c>
      <c r="I24" s="61"/>
      <c r="J24" s="62"/>
      <c r="K24" s="10"/>
      <c r="L24" s="10"/>
      <c r="M24" s="10"/>
      <c r="N24" s="21" t="s">
        <v>33</v>
      </c>
      <c r="O24" s="19" t="s">
        <v>47</v>
      </c>
    </row>
    <row r="25" spans="1:15" s="15" customFormat="1" ht="15.75" customHeight="1" thickTop="1" x14ac:dyDescent="0.25">
      <c r="A25" s="9"/>
      <c r="B25" s="58">
        <v>46184</v>
      </c>
      <c r="C25" s="49"/>
      <c r="D25" s="25"/>
      <c r="E25" s="26" t="str">
        <f>B6</f>
        <v>Mexico</v>
      </c>
      <c r="F25" s="27" t="s">
        <v>50</v>
      </c>
      <c r="G25" s="28" t="str">
        <f>B7</f>
        <v>Zuid-Afrika</v>
      </c>
      <c r="H25" s="1">
        <v>2</v>
      </c>
      <c r="I25" s="29" t="s">
        <v>50</v>
      </c>
      <c r="J25" s="3">
        <v>0</v>
      </c>
      <c r="K25" s="10"/>
      <c r="L25" s="10"/>
      <c r="M25" s="10"/>
      <c r="N25" s="21" t="s">
        <v>51</v>
      </c>
      <c r="O25" s="19" t="s">
        <v>52</v>
      </c>
    </row>
    <row r="26" spans="1:15" s="15" customFormat="1" ht="15" customHeight="1" x14ac:dyDescent="0.25">
      <c r="A26" s="9"/>
      <c r="B26" s="58">
        <v>46185</v>
      </c>
      <c r="C26" s="49"/>
      <c r="D26" s="25"/>
      <c r="E26" s="26" t="str">
        <f>I6</f>
        <v>Verenigde Staten</v>
      </c>
      <c r="F26" s="27" t="s">
        <v>50</v>
      </c>
      <c r="G26" s="28" t="str">
        <f>I7</f>
        <v>Paraguay</v>
      </c>
      <c r="H26" s="2">
        <v>1</v>
      </c>
      <c r="I26" s="30" t="s">
        <v>50</v>
      </c>
      <c r="J26" s="4">
        <v>1</v>
      </c>
      <c r="K26" s="10"/>
      <c r="L26" s="10"/>
      <c r="M26" s="10"/>
      <c r="N26" s="21" t="s">
        <v>52</v>
      </c>
      <c r="O26" s="19" t="s">
        <v>53</v>
      </c>
    </row>
    <row r="27" spans="1:15" s="15" customFormat="1" ht="15" customHeight="1" x14ac:dyDescent="0.25">
      <c r="A27" s="9"/>
      <c r="B27" s="58">
        <v>46186</v>
      </c>
      <c r="C27" s="49"/>
      <c r="D27" s="25"/>
      <c r="E27" s="26" t="str">
        <f>I8</f>
        <v>Australië</v>
      </c>
      <c r="F27" s="27" t="s">
        <v>50</v>
      </c>
      <c r="G27" s="28" t="str">
        <f>I9</f>
        <v>Turkije</v>
      </c>
      <c r="H27" s="2">
        <v>2</v>
      </c>
      <c r="I27" s="30" t="s">
        <v>50</v>
      </c>
      <c r="J27" s="4">
        <v>1</v>
      </c>
      <c r="K27" s="10"/>
      <c r="L27" s="10"/>
      <c r="M27" s="10"/>
      <c r="N27" s="21" t="s">
        <v>54</v>
      </c>
      <c r="O27" s="19" t="s">
        <v>55</v>
      </c>
    </row>
    <row r="28" spans="1:15" s="15" customFormat="1" ht="15" customHeight="1" x14ac:dyDescent="0.25">
      <c r="A28" s="9"/>
      <c r="B28" s="58">
        <v>46187</v>
      </c>
      <c r="C28" s="49"/>
      <c r="D28" s="25"/>
      <c r="E28" s="26" t="str">
        <f>E12</f>
        <v>Nederland</v>
      </c>
      <c r="F28" s="31" t="s">
        <v>50</v>
      </c>
      <c r="G28" s="32" t="str">
        <f>E13</f>
        <v>Japan</v>
      </c>
      <c r="H28" s="2">
        <v>2</v>
      </c>
      <c r="I28" s="30" t="s">
        <v>50</v>
      </c>
      <c r="J28" s="4">
        <v>1</v>
      </c>
      <c r="K28" s="10"/>
      <c r="L28" s="10"/>
      <c r="M28" s="10"/>
      <c r="N28" s="21" t="s">
        <v>56</v>
      </c>
      <c r="O28" s="19" t="s">
        <v>57</v>
      </c>
    </row>
    <row r="29" spans="1:15" s="15" customFormat="1" ht="15" customHeight="1" x14ac:dyDescent="0.25">
      <c r="A29" s="9"/>
      <c r="B29" s="58">
        <v>46187</v>
      </c>
      <c r="C29" s="49"/>
      <c r="D29" s="25"/>
      <c r="E29" s="33" t="str">
        <f>B12</f>
        <v>Duitsland</v>
      </c>
      <c r="F29" s="31" t="s">
        <v>50</v>
      </c>
      <c r="G29" s="32" t="str">
        <f>B13</f>
        <v>Curaçao</v>
      </c>
      <c r="H29" s="2">
        <v>3</v>
      </c>
      <c r="I29" s="30" t="s">
        <v>50</v>
      </c>
      <c r="J29" s="4">
        <v>0</v>
      </c>
      <c r="K29" s="10"/>
      <c r="L29" s="10"/>
      <c r="M29" s="10"/>
      <c r="N29" s="21" t="s">
        <v>16</v>
      </c>
      <c r="O29" s="19" t="s">
        <v>28</v>
      </c>
    </row>
    <row r="30" spans="1:15" s="15" customFormat="1" ht="15" customHeight="1" x14ac:dyDescent="0.25">
      <c r="A30" s="9"/>
      <c r="B30" s="58">
        <v>46189</v>
      </c>
      <c r="C30" s="49"/>
      <c r="D30" s="25"/>
      <c r="E30" s="33" t="str">
        <f>E18</f>
        <v>Argentinië</v>
      </c>
      <c r="F30" s="31" t="s">
        <v>50</v>
      </c>
      <c r="G30" s="32" t="str">
        <f>E19</f>
        <v>Algerije</v>
      </c>
      <c r="H30" s="2">
        <v>2</v>
      </c>
      <c r="I30" s="30" t="s">
        <v>50</v>
      </c>
      <c r="J30" s="4">
        <v>0</v>
      </c>
      <c r="K30" s="10"/>
      <c r="L30" s="10"/>
      <c r="M30" s="10"/>
      <c r="N30" s="21" t="s">
        <v>39</v>
      </c>
      <c r="O30" s="34" t="s">
        <v>9</v>
      </c>
    </row>
    <row r="31" spans="1:15" s="15" customFormat="1" ht="15" customHeight="1" x14ac:dyDescent="0.25">
      <c r="A31" s="9"/>
      <c r="B31" s="58">
        <v>46190</v>
      </c>
      <c r="C31" s="49"/>
      <c r="D31" s="25"/>
      <c r="E31" s="33" t="str">
        <f>I18</f>
        <v>Engeland</v>
      </c>
      <c r="F31" s="31" t="s">
        <v>50</v>
      </c>
      <c r="G31" s="32" t="str">
        <f>I19</f>
        <v>Kroatië</v>
      </c>
      <c r="H31" s="2">
        <v>2</v>
      </c>
      <c r="I31" s="30" t="s">
        <v>50</v>
      </c>
      <c r="J31" s="4">
        <v>2</v>
      </c>
      <c r="K31" s="10"/>
      <c r="L31" s="10"/>
      <c r="M31" s="10"/>
      <c r="N31" s="21" t="s">
        <v>48</v>
      </c>
      <c r="O31" s="19" t="s">
        <v>51</v>
      </c>
    </row>
    <row r="32" spans="1:15" s="15" customFormat="1" ht="15" customHeight="1" x14ac:dyDescent="0.25">
      <c r="A32" s="9"/>
      <c r="B32" s="58">
        <v>46193</v>
      </c>
      <c r="C32" s="49"/>
      <c r="D32" s="25"/>
      <c r="E32" s="33" t="str">
        <f>E12</f>
        <v>Nederland</v>
      </c>
      <c r="F32" s="31" t="s">
        <v>50</v>
      </c>
      <c r="G32" s="32" t="str">
        <f>E14</f>
        <v>Zweden</v>
      </c>
      <c r="H32" s="2">
        <v>1</v>
      </c>
      <c r="I32" s="30" t="s">
        <v>50</v>
      </c>
      <c r="J32" s="4">
        <v>1</v>
      </c>
      <c r="K32" s="10"/>
      <c r="L32" s="10"/>
      <c r="M32" s="10"/>
      <c r="N32" s="21" t="s">
        <v>58</v>
      </c>
      <c r="O32" s="19" t="s">
        <v>58</v>
      </c>
    </row>
    <row r="33" spans="1:15" s="15" customFormat="1" ht="15" customHeight="1" x14ac:dyDescent="0.25">
      <c r="A33" s="9"/>
      <c r="B33" s="58">
        <v>46194</v>
      </c>
      <c r="C33" s="49"/>
      <c r="D33" s="25"/>
      <c r="E33" s="33" t="str">
        <f>G12</f>
        <v>België</v>
      </c>
      <c r="F33" s="31" t="s">
        <v>50</v>
      </c>
      <c r="G33" s="32" t="str">
        <f>G14</f>
        <v>Iran</v>
      </c>
      <c r="H33" s="2">
        <v>2</v>
      </c>
      <c r="I33" s="30" t="s">
        <v>50</v>
      </c>
      <c r="J33" s="4">
        <v>0</v>
      </c>
      <c r="K33" s="10"/>
      <c r="L33" s="10"/>
      <c r="M33" s="10"/>
      <c r="N33" s="21" t="s">
        <v>59</v>
      </c>
      <c r="O33" s="19" t="s">
        <v>60</v>
      </c>
    </row>
    <row r="34" spans="1:15" s="15" customFormat="1" ht="15" customHeight="1" x14ac:dyDescent="0.25">
      <c r="A34" s="9"/>
      <c r="B34" s="58">
        <v>46195</v>
      </c>
      <c r="C34" s="49"/>
      <c r="D34" s="25"/>
      <c r="E34" s="33" t="str">
        <f>B18</f>
        <v>Frankrijk</v>
      </c>
      <c r="F34" s="31" t="s">
        <v>50</v>
      </c>
      <c r="G34" s="32" t="str">
        <f>B20</f>
        <v>Irak</v>
      </c>
      <c r="H34" s="2">
        <v>3</v>
      </c>
      <c r="I34" s="30" t="s">
        <v>50</v>
      </c>
      <c r="J34" s="4">
        <v>1</v>
      </c>
      <c r="K34" s="10"/>
      <c r="L34" s="10"/>
      <c r="M34" s="10"/>
      <c r="N34" s="21" t="s">
        <v>55</v>
      </c>
      <c r="O34" s="19" t="s">
        <v>61</v>
      </c>
    </row>
    <row r="35" spans="1:15" s="15" customFormat="1" ht="15" customHeight="1" x14ac:dyDescent="0.25">
      <c r="A35" s="9"/>
      <c r="B35" s="58">
        <v>46198</v>
      </c>
      <c r="C35" s="49"/>
      <c r="D35" s="25"/>
      <c r="E35" s="33" t="str">
        <f>E15</f>
        <v>Tunesië</v>
      </c>
      <c r="F35" s="31" t="s">
        <v>50</v>
      </c>
      <c r="G35" s="32" t="str">
        <f>E12</f>
        <v>Nederland</v>
      </c>
      <c r="H35" s="2">
        <v>0</v>
      </c>
      <c r="I35" s="30" t="s">
        <v>50</v>
      </c>
      <c r="J35" s="4">
        <v>2</v>
      </c>
      <c r="K35" s="10"/>
      <c r="L35" s="10"/>
      <c r="M35" s="10"/>
      <c r="N35" s="21" t="s">
        <v>62</v>
      </c>
      <c r="O35" s="19" t="s">
        <v>63</v>
      </c>
    </row>
    <row r="36" spans="1:15" s="15" customFormat="1" ht="15" customHeight="1" x14ac:dyDescent="0.25">
      <c r="A36" s="9"/>
      <c r="B36" s="58">
        <v>46198</v>
      </c>
      <c r="C36" s="49"/>
      <c r="D36" s="25"/>
      <c r="E36" s="33" t="str">
        <f>B13</f>
        <v>Curaçao</v>
      </c>
      <c r="F36" s="31" t="s">
        <v>50</v>
      </c>
      <c r="G36" s="32" t="str">
        <f>B14</f>
        <v>Ivoorkust</v>
      </c>
      <c r="H36" s="2">
        <v>1</v>
      </c>
      <c r="I36" s="30" t="s">
        <v>50</v>
      </c>
      <c r="J36" s="4">
        <v>2</v>
      </c>
      <c r="K36" s="10"/>
      <c r="L36" s="10"/>
      <c r="M36" s="10"/>
      <c r="N36" s="21" t="s">
        <v>64</v>
      </c>
      <c r="O36" s="19" t="s">
        <v>65</v>
      </c>
    </row>
    <row r="37" spans="1:15" s="15" customFormat="1" ht="15" customHeight="1" x14ac:dyDescent="0.25">
      <c r="A37" s="9"/>
      <c r="B37" s="58">
        <v>46200</v>
      </c>
      <c r="C37" s="49"/>
      <c r="D37" s="25"/>
      <c r="E37" s="33" t="str">
        <f>G21</f>
        <v>Colombia</v>
      </c>
      <c r="F37" s="31" t="s">
        <v>50</v>
      </c>
      <c r="G37" s="32" t="str">
        <f>G18</f>
        <v>Portugal</v>
      </c>
      <c r="H37" s="2">
        <v>2</v>
      </c>
      <c r="I37" s="30" t="s">
        <v>50</v>
      </c>
      <c r="J37" s="4">
        <v>2</v>
      </c>
      <c r="K37" s="10"/>
      <c r="L37" s="10"/>
      <c r="M37" s="10"/>
      <c r="N37" s="21" t="s">
        <v>42</v>
      </c>
      <c r="O37" s="19" t="s">
        <v>40</v>
      </c>
    </row>
    <row r="38" spans="1:15" s="15" customFormat="1" ht="15" customHeight="1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66</v>
      </c>
      <c r="O38" s="19" t="s">
        <v>67</v>
      </c>
    </row>
    <row r="39" spans="1:15" s="15" customFormat="1" ht="15" customHeight="1" x14ac:dyDescent="0.25">
      <c r="A39" s="9"/>
      <c r="B39" s="77" t="s">
        <v>68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21" t="s">
        <v>45</v>
      </c>
      <c r="O39" s="19" t="s">
        <v>24</v>
      </c>
    </row>
    <row r="40" spans="1:15" s="15" customFormat="1" ht="15.75" customHeight="1" thickBot="1" x14ac:dyDescent="0.3">
      <c r="A40" s="9"/>
      <c r="B40" s="70" t="s">
        <v>5</v>
      </c>
      <c r="C40" s="71"/>
      <c r="D40" s="35" t="s">
        <v>69</v>
      </c>
      <c r="E40" s="35" t="s">
        <v>6</v>
      </c>
      <c r="F40" s="35" t="s">
        <v>69</v>
      </c>
      <c r="G40" s="35" t="s">
        <v>7</v>
      </c>
      <c r="H40" s="35" t="s">
        <v>69</v>
      </c>
      <c r="I40" s="80" t="s">
        <v>8</v>
      </c>
      <c r="J40" s="61"/>
      <c r="K40" s="62"/>
      <c r="L40" s="35" t="s">
        <v>69</v>
      </c>
      <c r="M40" s="9"/>
      <c r="N40" s="21" t="s">
        <v>60</v>
      </c>
      <c r="O40" s="19" t="s">
        <v>62</v>
      </c>
    </row>
    <row r="41" spans="1:15" s="15" customFormat="1" ht="15.75" customHeight="1" thickTop="1" x14ac:dyDescent="0.25">
      <c r="A41" s="9"/>
      <c r="B41" s="72" t="str">
        <f>B6</f>
        <v>Mexico</v>
      </c>
      <c r="C41" s="73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4" t="str">
        <f>I6</f>
        <v>Verenigde Staten</v>
      </c>
      <c r="J41" s="75"/>
      <c r="K41" s="76"/>
      <c r="L41" s="6">
        <v>1</v>
      </c>
      <c r="M41" s="9"/>
      <c r="N41" s="21" t="s">
        <v>12</v>
      </c>
      <c r="O41" s="19" t="s">
        <v>32</v>
      </c>
    </row>
    <row r="42" spans="1:15" s="15" customFormat="1" ht="15" customHeight="1" x14ac:dyDescent="0.25">
      <c r="A42" s="9"/>
      <c r="B42" s="53" t="str">
        <f>B7</f>
        <v>Zuid-Afrika</v>
      </c>
      <c r="C42" s="55"/>
      <c r="D42" s="4">
        <v>4</v>
      </c>
      <c r="E42" s="36" t="str">
        <f>E7</f>
        <v>Bosnië-Herzegovina</v>
      </c>
      <c r="F42" s="7">
        <v>3</v>
      </c>
      <c r="G42" s="36" t="str">
        <f>G7</f>
        <v>Marokko</v>
      </c>
      <c r="H42" s="2">
        <v>2</v>
      </c>
      <c r="I42" s="53" t="str">
        <f>I7</f>
        <v>Paraguay</v>
      </c>
      <c r="J42" s="54"/>
      <c r="K42" s="55"/>
      <c r="L42" s="4">
        <v>3</v>
      </c>
      <c r="M42" s="9"/>
      <c r="N42" s="21" t="s">
        <v>10</v>
      </c>
      <c r="O42" s="19" t="s">
        <v>66</v>
      </c>
    </row>
    <row r="43" spans="1:15" s="15" customFormat="1" ht="15" customHeight="1" x14ac:dyDescent="0.25">
      <c r="A43" s="9"/>
      <c r="B43" s="53" t="str">
        <f>B8</f>
        <v>Zuid-Korea</v>
      </c>
      <c r="C43" s="55"/>
      <c r="D43" s="4">
        <v>2</v>
      </c>
      <c r="E43" s="36" t="str">
        <f>E8</f>
        <v>Qatar</v>
      </c>
      <c r="F43" s="7">
        <v>4</v>
      </c>
      <c r="G43" s="36" t="str">
        <f>G8</f>
        <v>Haïti</v>
      </c>
      <c r="H43" s="2">
        <v>4</v>
      </c>
      <c r="I43" s="53" t="str">
        <f>I8</f>
        <v>Australië</v>
      </c>
      <c r="J43" s="54"/>
      <c r="K43" s="55"/>
      <c r="L43" s="4">
        <v>4</v>
      </c>
      <c r="M43" s="9"/>
      <c r="N43" s="21" t="s">
        <v>63</v>
      </c>
      <c r="O43" s="19" t="s">
        <v>59</v>
      </c>
    </row>
    <row r="44" spans="1:15" s="15" customFormat="1" ht="15" customHeight="1" x14ac:dyDescent="0.25">
      <c r="A44" s="9"/>
      <c r="B44" s="53" t="str">
        <f>B9</f>
        <v>Tsjechië</v>
      </c>
      <c r="C44" s="55"/>
      <c r="D44" s="4">
        <v>3</v>
      </c>
      <c r="E44" s="36" t="str">
        <f>E9</f>
        <v>Zwitserland</v>
      </c>
      <c r="F44" s="7">
        <v>1</v>
      </c>
      <c r="G44" s="36" t="str">
        <f>G9</f>
        <v>Schotland</v>
      </c>
      <c r="H44" s="2">
        <v>3</v>
      </c>
      <c r="I44" s="53" t="str">
        <f>I9</f>
        <v>Turkije</v>
      </c>
      <c r="J44" s="54"/>
      <c r="K44" s="55"/>
      <c r="L44" s="4">
        <v>2</v>
      </c>
      <c r="M44" s="9"/>
      <c r="N44" s="21" t="s">
        <v>53</v>
      </c>
      <c r="O44" s="34" t="s">
        <v>15</v>
      </c>
    </row>
    <row r="45" spans="1:15" s="15" customFormat="1" ht="1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67</v>
      </c>
      <c r="O45" s="19" t="s">
        <v>56</v>
      </c>
    </row>
    <row r="46" spans="1:15" s="15" customFormat="1" ht="15.75" customHeight="1" thickBot="1" x14ac:dyDescent="0.3">
      <c r="A46" s="9"/>
      <c r="B46" s="70" t="s">
        <v>20</v>
      </c>
      <c r="C46" s="71"/>
      <c r="D46" s="35" t="s">
        <v>69</v>
      </c>
      <c r="E46" s="35" t="s">
        <v>21</v>
      </c>
      <c r="F46" s="35" t="s">
        <v>69</v>
      </c>
      <c r="G46" s="35" t="s">
        <v>22</v>
      </c>
      <c r="H46" s="35" t="s">
        <v>69</v>
      </c>
      <c r="I46" s="80" t="s">
        <v>23</v>
      </c>
      <c r="J46" s="61"/>
      <c r="K46" s="62"/>
      <c r="L46" s="35" t="s">
        <v>69</v>
      </c>
      <c r="M46" s="9"/>
      <c r="N46" s="21" t="s">
        <v>29</v>
      </c>
      <c r="O46" s="19" t="s">
        <v>43</v>
      </c>
    </row>
    <row r="47" spans="1:15" s="15" customFormat="1" ht="15.75" customHeight="1" thickTop="1" x14ac:dyDescent="0.25">
      <c r="A47" s="9"/>
      <c r="B47" s="72" t="str">
        <f>B12</f>
        <v>Duitsland</v>
      </c>
      <c r="C47" s="73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4" t="str">
        <f>I12</f>
        <v>Spanje</v>
      </c>
      <c r="J47" s="75"/>
      <c r="K47" s="76"/>
      <c r="L47" s="6">
        <v>1</v>
      </c>
      <c r="M47" s="9"/>
      <c r="N47" s="21" t="s">
        <v>61</v>
      </c>
      <c r="O47" s="19" t="s">
        <v>64</v>
      </c>
    </row>
    <row r="48" spans="1:15" s="15" customFormat="1" ht="15" customHeight="1" x14ac:dyDescent="0.25">
      <c r="A48" s="9"/>
      <c r="B48" s="53" t="str">
        <f>B13</f>
        <v>Curaçao</v>
      </c>
      <c r="C48" s="55"/>
      <c r="D48" s="4">
        <v>4</v>
      </c>
      <c r="E48" s="36" t="str">
        <f>E13</f>
        <v>Japan</v>
      </c>
      <c r="F48" s="7">
        <v>3</v>
      </c>
      <c r="G48" s="36" t="str">
        <f>G13</f>
        <v>Egypte</v>
      </c>
      <c r="H48" s="2">
        <v>2</v>
      </c>
      <c r="I48" s="53" t="str">
        <f>I13</f>
        <v>Kaapverdië</v>
      </c>
      <c r="J48" s="54"/>
      <c r="K48" s="55"/>
      <c r="L48" s="4">
        <v>4</v>
      </c>
      <c r="M48" s="9"/>
      <c r="N48" s="21" t="s">
        <v>26</v>
      </c>
      <c r="O48" s="19" t="s">
        <v>38</v>
      </c>
    </row>
    <row r="49" spans="1:15" s="15" customFormat="1" ht="15" customHeight="1" x14ac:dyDescent="0.25">
      <c r="A49" s="9"/>
      <c r="B49" s="53" t="str">
        <f>B14</f>
        <v>Ivoorkust</v>
      </c>
      <c r="C49" s="55"/>
      <c r="D49" s="4">
        <v>3</v>
      </c>
      <c r="E49" s="36" t="str">
        <f>E14</f>
        <v>Zweden</v>
      </c>
      <c r="F49" s="7">
        <v>2</v>
      </c>
      <c r="G49" s="36" t="str">
        <f>G14</f>
        <v>Iran</v>
      </c>
      <c r="H49" s="2">
        <v>3</v>
      </c>
      <c r="I49" s="53" t="str">
        <f>I14</f>
        <v>Saoedi-Arabië</v>
      </c>
      <c r="J49" s="54"/>
      <c r="K49" s="55"/>
      <c r="L49" s="4">
        <v>3</v>
      </c>
      <c r="M49" s="9"/>
      <c r="N49" s="21" t="s">
        <v>41</v>
      </c>
      <c r="O49" s="34" t="s">
        <v>11</v>
      </c>
    </row>
    <row r="50" spans="1:15" s="15" customFormat="1" ht="15" customHeight="1" x14ac:dyDescent="0.25">
      <c r="A50" s="9"/>
      <c r="B50" s="53" t="str">
        <f>B15</f>
        <v>Ecuador</v>
      </c>
      <c r="C50" s="55"/>
      <c r="D50" s="4">
        <v>2</v>
      </c>
      <c r="E50" s="36" t="str">
        <f>E15</f>
        <v>Tunesië</v>
      </c>
      <c r="F50" s="7">
        <v>4</v>
      </c>
      <c r="G50" s="36" t="str">
        <f>G15</f>
        <v>Nieuw-Zeeland</v>
      </c>
      <c r="H50" s="2">
        <v>4</v>
      </c>
      <c r="I50" s="53" t="str">
        <f>I15</f>
        <v>Uruguay</v>
      </c>
      <c r="J50" s="54"/>
      <c r="K50" s="55"/>
      <c r="L50" s="4">
        <v>2</v>
      </c>
      <c r="M50" s="9"/>
      <c r="N50" s="21" t="s">
        <v>57</v>
      </c>
      <c r="O50" s="34" t="s">
        <v>13</v>
      </c>
    </row>
    <row r="51" spans="1:15" s="15" customFormat="1" ht="1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44</v>
      </c>
      <c r="O51" s="19" t="s">
        <v>54</v>
      </c>
    </row>
    <row r="52" spans="1:15" s="15" customFormat="1" ht="15.75" customHeight="1" thickBot="1" x14ac:dyDescent="0.3">
      <c r="A52" s="9"/>
      <c r="B52" s="70" t="s">
        <v>34</v>
      </c>
      <c r="C52" s="71"/>
      <c r="D52" s="35" t="s">
        <v>69</v>
      </c>
      <c r="E52" s="35" t="s">
        <v>35</v>
      </c>
      <c r="F52" s="35" t="s">
        <v>69</v>
      </c>
      <c r="G52" s="35" t="s">
        <v>36</v>
      </c>
      <c r="H52" s="35" t="s">
        <v>69</v>
      </c>
      <c r="I52" s="80" t="s">
        <v>37</v>
      </c>
      <c r="J52" s="61"/>
      <c r="K52" s="62"/>
      <c r="L52" s="35" t="s">
        <v>69</v>
      </c>
      <c r="M52" s="9"/>
      <c r="N52" s="21" t="s">
        <v>65</v>
      </c>
      <c r="O52" s="19" t="s">
        <v>25</v>
      </c>
    </row>
    <row r="53" spans="1:15" s="15" customFormat="1" ht="15.75" customHeight="1" thickTop="1" x14ac:dyDescent="0.25">
      <c r="A53" s="9"/>
      <c r="B53" s="72" t="str">
        <f>B18</f>
        <v>Frankrijk</v>
      </c>
      <c r="C53" s="73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4" t="str">
        <f>I18</f>
        <v>Engeland</v>
      </c>
      <c r="J53" s="75"/>
      <c r="K53" s="76"/>
      <c r="L53" s="6">
        <v>1</v>
      </c>
      <c r="M53" s="9"/>
      <c r="N53" s="9"/>
      <c r="O53" s="9"/>
    </row>
    <row r="54" spans="1:15" s="15" customFormat="1" ht="15" customHeight="1" x14ac:dyDescent="0.25">
      <c r="A54" s="9"/>
      <c r="B54" s="53" t="str">
        <f>B19</f>
        <v>Senegal</v>
      </c>
      <c r="C54" s="55"/>
      <c r="D54" s="4">
        <v>2</v>
      </c>
      <c r="E54" s="36" t="str">
        <f>E19</f>
        <v>Algerije</v>
      </c>
      <c r="F54" s="7">
        <v>3</v>
      </c>
      <c r="G54" s="36" t="str">
        <f>G19</f>
        <v>DR Congo</v>
      </c>
      <c r="H54" s="2">
        <v>4</v>
      </c>
      <c r="I54" s="53" t="str">
        <f>I19</f>
        <v>Kroatië</v>
      </c>
      <c r="J54" s="54"/>
      <c r="K54" s="55"/>
      <c r="L54" s="4">
        <v>2</v>
      </c>
      <c r="M54" s="9"/>
      <c r="N54" s="9"/>
      <c r="O54" s="9"/>
    </row>
    <row r="55" spans="1:15" s="15" customFormat="1" ht="15" customHeight="1" x14ac:dyDescent="0.25">
      <c r="A55" s="9"/>
      <c r="B55" s="53" t="str">
        <f>B20</f>
        <v>Irak</v>
      </c>
      <c r="C55" s="55"/>
      <c r="D55" s="4">
        <v>4</v>
      </c>
      <c r="E55" s="36" t="str">
        <f>E20</f>
        <v>Oostenrijk</v>
      </c>
      <c r="F55" s="7">
        <v>2</v>
      </c>
      <c r="G55" s="36" t="str">
        <f>G20</f>
        <v>Oezbekistan</v>
      </c>
      <c r="H55" s="2">
        <v>3</v>
      </c>
      <c r="I55" s="53" t="str">
        <f>I20</f>
        <v>Ghana</v>
      </c>
      <c r="J55" s="54"/>
      <c r="K55" s="55"/>
      <c r="L55" s="4">
        <v>3</v>
      </c>
      <c r="M55" s="9"/>
      <c r="N55" s="9"/>
      <c r="O55" s="9"/>
    </row>
    <row r="56" spans="1:15" s="15" customFormat="1" ht="15" customHeight="1" x14ac:dyDescent="0.25">
      <c r="A56" s="9"/>
      <c r="B56" s="53" t="str">
        <f>B21</f>
        <v>Noorwegen</v>
      </c>
      <c r="C56" s="55"/>
      <c r="D56" s="4">
        <v>3</v>
      </c>
      <c r="E56" s="36" t="str">
        <f>E21</f>
        <v>Jordanië</v>
      </c>
      <c r="F56" s="7">
        <v>4</v>
      </c>
      <c r="G56" s="36" t="str">
        <f>G21</f>
        <v>Colombia</v>
      </c>
      <c r="H56" s="2">
        <v>2</v>
      </c>
      <c r="I56" s="53" t="str">
        <f>I21</f>
        <v>Panama</v>
      </c>
      <c r="J56" s="54"/>
      <c r="K56" s="55"/>
      <c r="L56" s="4">
        <v>4</v>
      </c>
      <c r="M56" s="9"/>
      <c r="N56" s="9"/>
      <c r="O56" s="9"/>
    </row>
    <row r="57" spans="1:15" s="15" customFormat="1" ht="1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customHeight="1" x14ac:dyDescent="0.25">
      <c r="A58" s="9"/>
      <c r="B58" s="77" t="s">
        <v>70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9"/>
      <c r="O58" s="9"/>
    </row>
    <row r="59" spans="1:15" s="15" customFormat="1" ht="15.75" customHeight="1" thickBot="1" x14ac:dyDescent="0.3">
      <c r="A59" s="9"/>
      <c r="B59" s="9"/>
      <c r="C59" s="9"/>
      <c r="D59" s="9"/>
      <c r="E59" s="9"/>
      <c r="F59" s="9"/>
      <c r="G59" s="9"/>
      <c r="H59" s="60" t="s">
        <v>71</v>
      </c>
      <c r="I59" s="61"/>
      <c r="J59" s="62"/>
      <c r="K59" s="9"/>
      <c r="L59" s="9"/>
      <c r="M59" s="9"/>
      <c r="N59" s="9"/>
      <c r="O59" s="9"/>
    </row>
    <row r="60" spans="1:15" s="15" customFormat="1" ht="15.75" customHeight="1" thickTop="1" x14ac:dyDescent="0.25">
      <c r="A60" s="9">
        <v>1</v>
      </c>
      <c r="B60" s="37" t="s">
        <v>72</v>
      </c>
      <c r="C60" s="46"/>
      <c r="D60" s="37" t="s">
        <v>73</v>
      </c>
      <c r="E60" s="46"/>
      <c r="F60" s="47" t="s">
        <v>74</v>
      </c>
      <c r="G60" s="48"/>
      <c r="H60" s="67" t="s">
        <v>13</v>
      </c>
      <c r="I60" s="68"/>
      <c r="J60" s="69"/>
      <c r="K60" s="9"/>
      <c r="L60" s="9"/>
      <c r="M60" s="9"/>
      <c r="N60" s="9"/>
      <c r="O60" s="9"/>
    </row>
    <row r="61" spans="1:15" s="15" customFormat="1" ht="15" customHeight="1" x14ac:dyDescent="0.25">
      <c r="A61" s="9">
        <v>2</v>
      </c>
      <c r="B61" s="37" t="s">
        <v>75</v>
      </c>
      <c r="C61" s="46"/>
      <c r="D61" s="37" t="s">
        <v>76</v>
      </c>
      <c r="E61" s="46"/>
      <c r="F61" s="59" t="s">
        <v>77</v>
      </c>
      <c r="G61" s="48"/>
      <c r="H61" s="63" t="s">
        <v>19</v>
      </c>
      <c r="I61" s="64"/>
      <c r="J61" s="65"/>
      <c r="K61" s="9"/>
      <c r="L61" s="9"/>
      <c r="M61" s="9"/>
      <c r="N61" s="38"/>
      <c r="O61" s="9"/>
    </row>
    <row r="62" spans="1:15" s="15" customFormat="1" ht="15" customHeight="1" x14ac:dyDescent="0.25">
      <c r="A62" s="9">
        <v>3</v>
      </c>
      <c r="B62" s="37" t="s">
        <v>78</v>
      </c>
      <c r="C62" s="46"/>
      <c r="D62" s="37" t="s">
        <v>79</v>
      </c>
      <c r="E62" s="46"/>
      <c r="F62" s="59" t="s">
        <v>80</v>
      </c>
      <c r="G62" s="48"/>
      <c r="H62" s="63" t="s">
        <v>31</v>
      </c>
      <c r="I62" s="64"/>
      <c r="J62" s="65"/>
      <c r="K62" s="9"/>
      <c r="L62" s="9"/>
      <c r="M62" s="9"/>
      <c r="N62" s="9"/>
      <c r="O62" s="9"/>
    </row>
    <row r="63" spans="1:15" s="15" customFormat="1" ht="15" customHeight="1" x14ac:dyDescent="0.25">
      <c r="A63" s="9">
        <v>4</v>
      </c>
      <c r="B63" s="37" t="s">
        <v>81</v>
      </c>
      <c r="C63" s="46"/>
      <c r="D63" s="37" t="s">
        <v>82</v>
      </c>
      <c r="E63" s="46"/>
      <c r="F63" s="59" t="s">
        <v>83</v>
      </c>
      <c r="G63" s="48"/>
      <c r="H63" s="63" t="s">
        <v>51</v>
      </c>
      <c r="I63" s="64"/>
      <c r="J63" s="65"/>
      <c r="K63" s="9"/>
      <c r="L63" s="9"/>
      <c r="M63" s="9"/>
      <c r="N63" s="9"/>
      <c r="O63" s="9"/>
    </row>
    <row r="64" spans="1:15" s="15" customFormat="1" ht="15" customHeight="1" x14ac:dyDescent="0.25">
      <c r="A64" s="9">
        <v>5</v>
      </c>
      <c r="B64" s="37" t="s">
        <v>84</v>
      </c>
      <c r="C64" s="46"/>
      <c r="D64" s="37" t="s">
        <v>85</v>
      </c>
      <c r="E64" s="46"/>
      <c r="F64" s="59" t="s">
        <v>86</v>
      </c>
      <c r="G64" s="48"/>
      <c r="H64" s="63" t="s">
        <v>66</v>
      </c>
      <c r="I64" s="64"/>
      <c r="J64" s="65"/>
      <c r="K64" s="9"/>
      <c r="L64" s="9"/>
      <c r="M64" s="9"/>
      <c r="N64" s="9"/>
      <c r="O64" s="9"/>
    </row>
    <row r="65" spans="1:15" s="15" customFormat="1" ht="15" customHeight="1" x14ac:dyDescent="0.25">
      <c r="A65" s="9">
        <v>6</v>
      </c>
      <c r="B65" s="37" t="s">
        <v>87</v>
      </c>
      <c r="C65" s="46"/>
      <c r="D65" s="37" t="s">
        <v>88</v>
      </c>
      <c r="E65" s="46"/>
      <c r="F65" s="59" t="s">
        <v>89</v>
      </c>
      <c r="G65" s="48"/>
      <c r="H65" s="63" t="s">
        <v>42</v>
      </c>
      <c r="I65" s="64"/>
      <c r="J65" s="65"/>
      <c r="K65" s="9"/>
      <c r="L65" s="9"/>
      <c r="M65" s="9"/>
      <c r="N65" s="9"/>
      <c r="O65" s="9"/>
    </row>
    <row r="66" spans="1:15" s="15" customFormat="1" ht="15" customHeight="1" x14ac:dyDescent="0.25">
      <c r="A66" s="9">
        <v>7</v>
      </c>
      <c r="B66" s="37" t="s">
        <v>90</v>
      </c>
      <c r="C66" s="46"/>
      <c r="D66" s="37" t="s">
        <v>91</v>
      </c>
      <c r="E66" s="46"/>
      <c r="F66" s="59" t="s">
        <v>92</v>
      </c>
      <c r="G66" s="48"/>
      <c r="H66" s="63" t="s">
        <v>9</v>
      </c>
      <c r="I66" s="64"/>
      <c r="J66" s="65"/>
      <c r="K66" s="9"/>
      <c r="L66" s="9"/>
      <c r="M66" s="9"/>
      <c r="N66" s="9"/>
      <c r="O66" s="9"/>
    </row>
    <row r="67" spans="1:15" s="15" customFormat="1" ht="15" customHeight="1" x14ac:dyDescent="0.25">
      <c r="A67" s="9">
        <v>8</v>
      </c>
      <c r="B67" s="37" t="s">
        <v>93</v>
      </c>
      <c r="C67" s="46"/>
      <c r="D67" s="37" t="s">
        <v>94</v>
      </c>
      <c r="E67" s="46"/>
      <c r="F67" s="59" t="s">
        <v>95</v>
      </c>
      <c r="G67" s="48"/>
      <c r="H67" s="63" t="s">
        <v>57</v>
      </c>
      <c r="I67" s="64"/>
      <c r="J67" s="65"/>
      <c r="K67" s="9"/>
      <c r="L67" s="9"/>
      <c r="M67" s="9"/>
      <c r="N67" s="9"/>
      <c r="O67" s="9"/>
    </row>
    <row r="68" spans="1:15" s="15" customFormat="1" ht="15" customHeight="1" x14ac:dyDescent="0.25">
      <c r="A68" s="9">
        <v>9</v>
      </c>
      <c r="B68" s="37" t="s">
        <v>96</v>
      </c>
      <c r="C68" s="46"/>
      <c r="D68" s="37" t="s">
        <v>97</v>
      </c>
      <c r="E68" s="46"/>
      <c r="F68" s="47" t="s">
        <v>98</v>
      </c>
      <c r="G68" s="48"/>
      <c r="H68" s="67" t="s">
        <v>16</v>
      </c>
      <c r="I68" s="68"/>
      <c r="J68" s="69"/>
      <c r="K68" s="9"/>
      <c r="L68" s="9"/>
      <c r="M68" s="9"/>
      <c r="N68" s="38"/>
      <c r="O68" s="9"/>
    </row>
    <row r="69" spans="1:15" s="15" customFormat="1" ht="15" customHeight="1" x14ac:dyDescent="0.25">
      <c r="A69" s="9">
        <v>10</v>
      </c>
      <c r="B69" s="37" t="s">
        <v>99</v>
      </c>
      <c r="C69" s="46"/>
      <c r="D69" s="37" t="s">
        <v>100</v>
      </c>
      <c r="E69" s="46"/>
      <c r="F69" s="59" t="s">
        <v>101</v>
      </c>
      <c r="G69" s="48"/>
      <c r="H69" s="63" t="s">
        <v>38</v>
      </c>
      <c r="I69" s="64"/>
      <c r="J69" s="65"/>
      <c r="K69" s="9"/>
      <c r="L69" s="9"/>
      <c r="M69" s="9"/>
      <c r="N69" s="9"/>
      <c r="O69" s="9"/>
    </row>
    <row r="70" spans="1:15" s="15" customFormat="1" ht="15" customHeight="1" x14ac:dyDescent="0.25">
      <c r="A70" s="9">
        <v>11</v>
      </c>
      <c r="B70" s="37" t="s">
        <v>102</v>
      </c>
      <c r="C70" s="46"/>
      <c r="D70" s="37" t="s">
        <v>103</v>
      </c>
      <c r="E70" s="46"/>
      <c r="F70" s="59" t="s">
        <v>104</v>
      </c>
      <c r="G70" s="48"/>
      <c r="H70" s="63" t="s">
        <v>59</v>
      </c>
      <c r="I70" s="64"/>
      <c r="J70" s="65"/>
      <c r="K70" s="9"/>
      <c r="L70" s="9"/>
      <c r="M70" s="9"/>
      <c r="N70" s="9"/>
      <c r="O70" s="9"/>
    </row>
    <row r="71" spans="1:15" s="15" customFormat="1" ht="15" customHeight="1" x14ac:dyDescent="0.25">
      <c r="A71" s="9">
        <v>12</v>
      </c>
      <c r="B71" s="37" t="s">
        <v>105</v>
      </c>
      <c r="C71" s="46"/>
      <c r="D71" s="37" t="s">
        <v>106</v>
      </c>
      <c r="E71" s="46"/>
      <c r="F71" s="59" t="s">
        <v>107</v>
      </c>
      <c r="G71" s="48"/>
      <c r="H71" s="63" t="s">
        <v>57</v>
      </c>
      <c r="I71" s="64"/>
      <c r="J71" s="65"/>
      <c r="K71" s="9"/>
      <c r="L71" s="9"/>
      <c r="M71" s="9"/>
      <c r="N71" s="9"/>
      <c r="O71" s="9"/>
    </row>
    <row r="72" spans="1:15" s="15" customFormat="1" ht="15" customHeight="1" x14ac:dyDescent="0.25">
      <c r="A72" s="9">
        <v>13</v>
      </c>
      <c r="B72" s="37" t="s">
        <v>108</v>
      </c>
      <c r="C72" s="46"/>
      <c r="D72" s="37" t="s">
        <v>109</v>
      </c>
      <c r="E72" s="46"/>
      <c r="F72" s="59" t="s">
        <v>110</v>
      </c>
      <c r="G72" s="48"/>
      <c r="H72" s="63" t="s">
        <v>25</v>
      </c>
      <c r="I72" s="64"/>
      <c r="J72" s="65"/>
      <c r="K72" s="9"/>
      <c r="L72" s="9"/>
      <c r="M72" s="9"/>
      <c r="N72" s="9"/>
      <c r="O72" s="9"/>
    </row>
    <row r="73" spans="1:15" s="15" customFormat="1" ht="15" customHeight="1" x14ac:dyDescent="0.25">
      <c r="A73" s="9">
        <v>14</v>
      </c>
      <c r="B73" s="37" t="s">
        <v>111</v>
      </c>
      <c r="C73" s="46"/>
      <c r="D73" s="37" t="s">
        <v>112</v>
      </c>
      <c r="E73" s="46"/>
      <c r="F73" s="59" t="s">
        <v>113</v>
      </c>
      <c r="G73" s="48"/>
      <c r="H73" s="63" t="s">
        <v>43</v>
      </c>
      <c r="I73" s="64"/>
      <c r="J73" s="65"/>
      <c r="K73" s="9"/>
      <c r="L73" s="9"/>
      <c r="M73" s="9"/>
      <c r="N73" s="9"/>
      <c r="O73" s="9"/>
    </row>
    <row r="74" spans="1:15" s="15" customFormat="1" ht="15" customHeight="1" x14ac:dyDescent="0.25">
      <c r="A74" s="9">
        <v>15</v>
      </c>
      <c r="B74" s="37" t="s">
        <v>114</v>
      </c>
      <c r="C74" s="46"/>
      <c r="D74" s="37" t="s">
        <v>115</v>
      </c>
      <c r="E74" s="46"/>
      <c r="F74" s="59" t="s">
        <v>116</v>
      </c>
      <c r="G74" s="48"/>
      <c r="H74" s="63" t="s">
        <v>12</v>
      </c>
      <c r="I74" s="64"/>
      <c r="J74" s="65"/>
      <c r="K74" s="9"/>
      <c r="L74" s="9"/>
      <c r="M74" s="9"/>
      <c r="N74" s="9"/>
      <c r="O74" s="9"/>
    </row>
    <row r="75" spans="1:15" s="15" customFormat="1" ht="15" customHeight="1" x14ac:dyDescent="0.25">
      <c r="A75" s="9">
        <v>16</v>
      </c>
      <c r="B75" s="37" t="s">
        <v>117</v>
      </c>
      <c r="C75" s="46"/>
      <c r="D75" s="37" t="s">
        <v>118</v>
      </c>
      <c r="E75" s="46"/>
      <c r="F75" s="59" t="s">
        <v>119</v>
      </c>
      <c r="G75" s="48"/>
      <c r="H75" s="63" t="s">
        <v>67</v>
      </c>
      <c r="I75" s="64"/>
      <c r="J75" s="65"/>
      <c r="K75" s="9"/>
      <c r="L75" s="9"/>
      <c r="M75" s="9"/>
      <c r="N75" s="9"/>
      <c r="O75" s="9"/>
    </row>
    <row r="76" spans="1:15" s="15" customFormat="1" ht="1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customHeight="1" x14ac:dyDescent="0.25">
      <c r="A77" s="9"/>
      <c r="B77" s="77" t="s">
        <v>120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9"/>
      <c r="O77" s="9"/>
    </row>
    <row r="78" spans="1:15" s="15" customFormat="1" ht="15.75" customHeight="1" thickBot="1" x14ac:dyDescent="0.3">
      <c r="A78" s="9"/>
      <c r="B78" s="9"/>
      <c r="C78" s="9"/>
      <c r="D78" s="9"/>
      <c r="E78" s="9"/>
      <c r="F78" s="9"/>
      <c r="G78" s="9"/>
      <c r="H78" s="60" t="s">
        <v>71</v>
      </c>
      <c r="I78" s="61"/>
      <c r="J78" s="62"/>
      <c r="K78" s="9"/>
      <c r="L78" s="9"/>
      <c r="M78" s="9"/>
      <c r="N78" s="9"/>
      <c r="O78" s="9"/>
    </row>
    <row r="79" spans="1:15" s="15" customFormat="1" ht="15.75" customHeight="1" thickTop="1" x14ac:dyDescent="0.25">
      <c r="A79" s="9">
        <v>17</v>
      </c>
      <c r="B79" s="37" t="s">
        <v>121</v>
      </c>
      <c r="C79" s="46"/>
      <c r="D79" s="37" t="s">
        <v>122</v>
      </c>
      <c r="E79" s="46"/>
      <c r="F79" s="47" t="s">
        <v>123</v>
      </c>
      <c r="G79" s="48"/>
      <c r="H79" s="67" t="s">
        <v>51</v>
      </c>
      <c r="I79" s="68"/>
      <c r="J79" s="69"/>
      <c r="K79" s="9"/>
      <c r="L79" s="9"/>
      <c r="M79" s="9"/>
      <c r="N79" s="9"/>
      <c r="O79" s="9"/>
    </row>
    <row r="80" spans="1:15" s="15" customFormat="1" ht="15" customHeight="1" x14ac:dyDescent="0.25">
      <c r="A80" s="9">
        <v>18</v>
      </c>
      <c r="B80" s="37" t="s">
        <v>124</v>
      </c>
      <c r="C80" s="46"/>
      <c r="D80" s="37" t="s">
        <v>125</v>
      </c>
      <c r="E80" s="46"/>
      <c r="F80" s="59" t="s">
        <v>126</v>
      </c>
      <c r="G80" s="48"/>
      <c r="H80" s="63" t="s">
        <v>42</v>
      </c>
      <c r="I80" s="64"/>
      <c r="J80" s="65"/>
      <c r="K80" s="9"/>
      <c r="L80" s="9"/>
      <c r="M80" s="9"/>
      <c r="N80" s="39"/>
      <c r="O80" s="9"/>
    </row>
    <row r="81" spans="1:15" s="15" customFormat="1" ht="15" customHeight="1" x14ac:dyDescent="0.25">
      <c r="A81" s="9">
        <v>19</v>
      </c>
      <c r="B81" s="37" t="s">
        <v>127</v>
      </c>
      <c r="C81" s="46"/>
      <c r="D81" s="37" t="s">
        <v>128</v>
      </c>
      <c r="E81" s="46"/>
      <c r="F81" s="59" t="s">
        <v>129</v>
      </c>
      <c r="G81" s="48"/>
      <c r="H81" s="63" t="s">
        <v>19</v>
      </c>
      <c r="I81" s="64"/>
      <c r="J81" s="65"/>
      <c r="K81" s="9"/>
      <c r="L81" s="9"/>
      <c r="M81" s="9"/>
      <c r="N81" s="39"/>
      <c r="O81" s="9"/>
    </row>
    <row r="82" spans="1:15" s="15" customFormat="1" ht="15" customHeight="1" x14ac:dyDescent="0.25">
      <c r="A82" s="9">
        <v>20</v>
      </c>
      <c r="B82" s="37" t="s">
        <v>130</v>
      </c>
      <c r="C82" s="46"/>
      <c r="D82" s="37" t="s">
        <v>131</v>
      </c>
      <c r="E82" s="46"/>
      <c r="F82" s="59" t="s">
        <v>132</v>
      </c>
      <c r="G82" s="48"/>
      <c r="H82" s="63" t="s">
        <v>57</v>
      </c>
      <c r="I82" s="64"/>
      <c r="J82" s="65"/>
      <c r="K82" s="9"/>
      <c r="L82" s="9"/>
      <c r="M82" s="9"/>
      <c r="N82" s="9"/>
      <c r="O82" s="9"/>
    </row>
    <row r="83" spans="1:15" s="15" customFormat="1" ht="15" customHeight="1" x14ac:dyDescent="0.25">
      <c r="A83" s="9">
        <v>21</v>
      </c>
      <c r="B83" s="37" t="s">
        <v>133</v>
      </c>
      <c r="C83" s="46"/>
      <c r="D83" s="37" t="s">
        <v>134</v>
      </c>
      <c r="E83" s="46"/>
      <c r="F83" s="59" t="s">
        <v>135</v>
      </c>
      <c r="G83" s="48"/>
      <c r="H83" s="63" t="s">
        <v>59</v>
      </c>
      <c r="I83" s="64"/>
      <c r="J83" s="65"/>
      <c r="K83" s="9"/>
      <c r="L83" s="9"/>
      <c r="M83" s="9"/>
      <c r="N83" s="39"/>
      <c r="O83" s="11"/>
    </row>
    <row r="84" spans="1:15" s="15" customFormat="1" ht="15" customHeight="1" x14ac:dyDescent="0.25">
      <c r="A84" s="9">
        <v>22</v>
      </c>
      <c r="B84" s="37" t="s">
        <v>136</v>
      </c>
      <c r="C84" s="46"/>
      <c r="D84" s="37" t="s">
        <v>137</v>
      </c>
      <c r="E84" s="46"/>
      <c r="F84" s="59" t="s">
        <v>138</v>
      </c>
      <c r="G84" s="48"/>
      <c r="H84" s="63" t="s">
        <v>16</v>
      </c>
      <c r="I84" s="64"/>
      <c r="J84" s="65"/>
      <c r="K84" s="9"/>
      <c r="L84" s="9"/>
      <c r="M84" s="9"/>
      <c r="N84" s="9"/>
      <c r="O84" s="9"/>
    </row>
    <row r="85" spans="1:15" s="15" customFormat="1" ht="15" customHeight="1" x14ac:dyDescent="0.25">
      <c r="A85" s="9">
        <v>23</v>
      </c>
      <c r="B85" s="37" t="s">
        <v>139</v>
      </c>
      <c r="C85" s="46"/>
      <c r="D85" s="37" t="s">
        <v>140</v>
      </c>
      <c r="E85" s="46"/>
      <c r="F85" s="59" t="s">
        <v>141</v>
      </c>
      <c r="G85" s="48"/>
      <c r="H85" s="63" t="s">
        <v>12</v>
      </c>
      <c r="I85" s="64"/>
      <c r="J85" s="65"/>
      <c r="K85" s="9"/>
      <c r="L85" s="9"/>
      <c r="M85" s="9"/>
      <c r="N85" s="9"/>
      <c r="O85" s="9"/>
    </row>
    <row r="86" spans="1:15" s="15" customFormat="1" ht="15" customHeight="1" x14ac:dyDescent="0.25">
      <c r="A86" s="9">
        <v>24</v>
      </c>
      <c r="B86" s="37" t="s">
        <v>142</v>
      </c>
      <c r="C86" s="46"/>
      <c r="D86" s="37" t="s">
        <v>143</v>
      </c>
      <c r="E86" s="46"/>
      <c r="F86" s="59" t="s">
        <v>144</v>
      </c>
      <c r="G86" s="48"/>
      <c r="H86" s="63" t="s">
        <v>67</v>
      </c>
      <c r="I86" s="64"/>
      <c r="J86" s="65"/>
      <c r="K86" s="9"/>
      <c r="L86" s="9"/>
      <c r="M86" s="9"/>
      <c r="N86" s="9"/>
      <c r="O86" s="9"/>
    </row>
    <row r="87" spans="1:15" s="15" customFormat="1" ht="15" customHeight="1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customHeight="1" x14ac:dyDescent="0.25">
      <c r="A88" s="9"/>
      <c r="B88" s="77" t="s">
        <v>145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9"/>
      <c r="O88" s="9"/>
    </row>
    <row r="89" spans="1:15" s="15" customFormat="1" ht="15.75" customHeight="1" thickBot="1" x14ac:dyDescent="0.3">
      <c r="A89" s="9"/>
      <c r="B89" s="9"/>
      <c r="C89" s="9"/>
      <c r="D89" s="10"/>
      <c r="E89" s="9"/>
      <c r="F89" s="9"/>
      <c r="G89" s="9"/>
      <c r="H89" s="60" t="s">
        <v>71</v>
      </c>
      <c r="I89" s="61"/>
      <c r="J89" s="62"/>
      <c r="K89" s="9"/>
      <c r="L89" s="9"/>
      <c r="M89" s="9"/>
      <c r="N89" s="9"/>
      <c r="O89" s="9"/>
    </row>
    <row r="90" spans="1:15" s="15" customFormat="1" ht="15.75" customHeight="1" thickTop="1" x14ac:dyDescent="0.25">
      <c r="A90" s="9">
        <v>25</v>
      </c>
      <c r="B90" s="40" t="s">
        <v>146</v>
      </c>
      <c r="C90" s="41"/>
      <c r="D90" s="42" t="s">
        <v>147</v>
      </c>
      <c r="E90" s="43"/>
      <c r="F90" s="59" t="s">
        <v>148</v>
      </c>
      <c r="G90" s="48"/>
      <c r="H90" s="67" t="s">
        <v>42</v>
      </c>
      <c r="I90" s="68"/>
      <c r="J90" s="69"/>
      <c r="K90" s="9"/>
      <c r="L90" s="9"/>
      <c r="M90" s="9"/>
      <c r="N90" s="9"/>
      <c r="O90" s="9"/>
    </row>
    <row r="91" spans="1:15" s="15" customFormat="1" ht="15" customHeight="1" x14ac:dyDescent="0.25">
      <c r="A91" s="9">
        <v>26</v>
      </c>
      <c r="B91" s="40" t="s">
        <v>149</v>
      </c>
      <c r="C91" s="41"/>
      <c r="D91" s="42" t="s">
        <v>150</v>
      </c>
      <c r="E91" s="43"/>
      <c r="F91" s="59" t="s">
        <v>151</v>
      </c>
      <c r="G91" s="48"/>
      <c r="H91" s="63" t="s">
        <v>59</v>
      </c>
      <c r="I91" s="64"/>
      <c r="J91" s="65"/>
      <c r="K91" s="9"/>
      <c r="L91" s="9"/>
      <c r="M91" s="9"/>
      <c r="N91" s="9"/>
      <c r="O91" s="9"/>
    </row>
    <row r="92" spans="1:15" s="15" customFormat="1" ht="15" customHeight="1" x14ac:dyDescent="0.25">
      <c r="A92" s="9">
        <v>27</v>
      </c>
      <c r="B92" s="40" t="s">
        <v>152</v>
      </c>
      <c r="C92" s="41"/>
      <c r="D92" s="42" t="s">
        <v>153</v>
      </c>
      <c r="E92" s="43"/>
      <c r="F92" s="59" t="s">
        <v>154</v>
      </c>
      <c r="G92" s="48"/>
      <c r="H92" s="63" t="s">
        <v>19</v>
      </c>
      <c r="I92" s="64"/>
      <c r="J92" s="65"/>
      <c r="K92" s="9"/>
      <c r="L92" s="9"/>
      <c r="M92" s="9"/>
      <c r="N92" s="9"/>
      <c r="O92" s="9"/>
    </row>
    <row r="93" spans="1:15" ht="15" customHeight="1" x14ac:dyDescent="0.25">
      <c r="A93" s="9">
        <v>28</v>
      </c>
      <c r="B93" s="40" t="s">
        <v>155</v>
      </c>
      <c r="C93" s="41"/>
      <c r="D93" s="42" t="s">
        <v>156</v>
      </c>
      <c r="E93" s="43"/>
      <c r="F93" s="59" t="s">
        <v>157</v>
      </c>
      <c r="G93" s="48"/>
      <c r="H93" s="63" t="s">
        <v>12</v>
      </c>
      <c r="I93" s="64"/>
      <c r="J93" s="65"/>
      <c r="K93" s="9"/>
      <c r="L93" s="9"/>
      <c r="M93" s="9"/>
      <c r="N93" s="9"/>
      <c r="O93" s="9"/>
    </row>
    <row r="94" spans="1:15" ht="15" customHeight="1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customHeight="1" x14ac:dyDescent="0.25">
      <c r="A95" s="9"/>
      <c r="B95" s="77" t="s">
        <v>158</v>
      </c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39"/>
      <c r="O95" s="9"/>
    </row>
    <row r="96" spans="1:15" ht="15.75" customHeight="1" thickBot="1" x14ac:dyDescent="0.3">
      <c r="A96" s="9"/>
      <c r="B96" s="9"/>
      <c r="C96" s="10"/>
      <c r="D96" s="10"/>
      <c r="E96" s="39"/>
      <c r="F96" s="9"/>
      <c r="G96" s="9"/>
      <c r="H96" s="60" t="s">
        <v>71</v>
      </c>
      <c r="I96" s="61"/>
      <c r="J96" s="62"/>
      <c r="K96" s="9"/>
      <c r="L96" s="9"/>
      <c r="M96" s="9"/>
      <c r="N96" s="39"/>
      <c r="O96" s="9"/>
    </row>
    <row r="97" spans="1:15" ht="15.75" customHeight="1" thickTop="1" x14ac:dyDescent="0.25">
      <c r="A97" s="9">
        <v>29</v>
      </c>
      <c r="B97" s="40" t="s">
        <v>159</v>
      </c>
      <c r="C97" s="44"/>
      <c r="D97" s="40" t="s">
        <v>160</v>
      </c>
      <c r="E97" s="43"/>
      <c r="F97" s="47" t="s">
        <v>161</v>
      </c>
      <c r="G97" s="48"/>
      <c r="H97" s="67" t="s">
        <v>42</v>
      </c>
      <c r="I97" s="68"/>
      <c r="J97" s="69"/>
      <c r="K97" s="9"/>
      <c r="L97" s="9"/>
      <c r="M97" s="9"/>
      <c r="N97" s="9"/>
      <c r="O97" s="9"/>
    </row>
    <row r="98" spans="1:15" ht="15" customHeight="1" x14ac:dyDescent="0.25">
      <c r="A98" s="9">
        <v>30</v>
      </c>
      <c r="B98" s="40" t="s">
        <v>162</v>
      </c>
      <c r="C98" s="44"/>
      <c r="D98" s="40" t="s">
        <v>163</v>
      </c>
      <c r="E98" s="43"/>
      <c r="F98" s="47" t="s">
        <v>164</v>
      </c>
      <c r="G98" s="48"/>
      <c r="H98" s="63" t="s">
        <v>19</v>
      </c>
      <c r="I98" s="64"/>
      <c r="J98" s="65"/>
      <c r="K98" s="9"/>
      <c r="L98" s="9"/>
      <c r="M98" s="9"/>
      <c r="N98" s="39"/>
      <c r="O98" s="11"/>
    </row>
    <row r="99" spans="1:15" ht="1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customHeight="1" thickBot="1" x14ac:dyDescent="0.3">
      <c r="A100" s="9"/>
      <c r="B100" s="23" t="s">
        <v>165</v>
      </c>
      <c r="C100" s="81" t="s">
        <v>166</v>
      </c>
      <c r="D100" s="57"/>
      <c r="E100" s="57"/>
      <c r="F100" s="57"/>
      <c r="G100" s="9"/>
      <c r="H100" s="60" t="s">
        <v>71</v>
      </c>
      <c r="I100" s="61"/>
      <c r="J100" s="62"/>
      <c r="K100" s="9"/>
      <c r="L100" s="9"/>
      <c r="M100" s="9"/>
      <c r="N100" s="9"/>
      <c r="O100" s="9"/>
    </row>
    <row r="101" spans="1:15" ht="15.75" customHeight="1" thickTop="1" x14ac:dyDescent="0.25">
      <c r="A101" s="9"/>
      <c r="B101" s="9"/>
      <c r="C101" s="9"/>
      <c r="D101" s="9"/>
      <c r="E101" s="9"/>
      <c r="F101" s="9"/>
      <c r="G101" s="45" t="s">
        <v>167</v>
      </c>
      <c r="H101" s="67" t="s">
        <v>19</v>
      </c>
      <c r="I101" s="68"/>
      <c r="J101" s="69"/>
      <c r="K101" s="9"/>
      <c r="L101" s="9"/>
      <c r="M101" s="9"/>
      <c r="N101" s="9"/>
      <c r="O101" s="9"/>
    </row>
    <row r="102" spans="1:15" ht="15" customHeight="1" x14ac:dyDescent="0.25">
      <c r="A102" s="9"/>
      <c r="B102" s="9"/>
      <c r="C102" s="9"/>
      <c r="D102" s="9"/>
      <c r="E102" s="9"/>
      <c r="F102" s="9"/>
      <c r="G102" s="45" t="s">
        <v>168</v>
      </c>
      <c r="H102" s="63" t="s">
        <v>42</v>
      </c>
      <c r="I102" s="64"/>
      <c r="J102" s="65"/>
      <c r="K102" s="9"/>
      <c r="L102" s="9"/>
      <c r="M102" s="9"/>
      <c r="N102" s="9"/>
      <c r="O102" s="9"/>
    </row>
    <row r="103" spans="1:15" ht="15" customHeight="1" x14ac:dyDescent="0.25">
      <c r="A103" s="9"/>
      <c r="B103" s="23" t="s">
        <v>169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customHeight="1" x14ac:dyDescent="0.25">
      <c r="A104" s="9"/>
      <c r="B104" s="47" t="s">
        <v>170</v>
      </c>
      <c r="C104" s="49"/>
      <c r="D104" s="49"/>
      <c r="E104" s="48"/>
      <c r="F104" s="5">
        <v>10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customHeight="1" x14ac:dyDescent="0.25">
      <c r="A105" s="9"/>
      <c r="B105" s="47" t="s">
        <v>171</v>
      </c>
      <c r="C105" s="49"/>
      <c r="D105" s="49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customHeight="1" x14ac:dyDescent="0.25">
      <c r="A106" s="9"/>
      <c r="B106" s="47" t="s">
        <v>172</v>
      </c>
      <c r="C106" s="49"/>
      <c r="D106" s="49"/>
      <c r="E106" s="48"/>
      <c r="F106" s="5">
        <v>9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customHeight="1" x14ac:dyDescent="0.25">
      <c r="A107" s="9"/>
      <c r="B107" s="47" t="s">
        <v>173</v>
      </c>
      <c r="C107" s="49"/>
      <c r="D107" s="49"/>
      <c r="E107" s="48"/>
      <c r="F107" s="5">
        <v>277</v>
      </c>
      <c r="G107" s="56"/>
      <c r="H107" s="57"/>
      <c r="I107" s="57"/>
      <c r="J107" s="57"/>
      <c r="K107" s="57"/>
      <c r="L107" s="57"/>
      <c r="M107" s="57"/>
      <c r="N107" s="9"/>
      <c r="O107" s="9"/>
    </row>
    <row r="108" spans="1:15" ht="15" customHeight="1" x14ac:dyDescent="0.25">
      <c r="A108" s="9"/>
      <c r="B108" s="47" t="s">
        <v>174</v>
      </c>
      <c r="C108" s="49"/>
      <c r="D108" s="49"/>
      <c r="E108" s="48"/>
      <c r="F108" s="5">
        <v>6</v>
      </c>
      <c r="G108" s="56"/>
      <c r="H108" s="57"/>
      <c r="I108" s="57"/>
      <c r="J108" s="57"/>
      <c r="K108" s="57"/>
      <c r="L108" s="57"/>
      <c r="M108" s="57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customHeight="1" x14ac:dyDescent="0.25">
      <c r="A110" s="9"/>
      <c r="B110" s="47" t="s">
        <v>175</v>
      </c>
      <c r="C110" s="49"/>
      <c r="D110" s="49"/>
      <c r="E110" s="48"/>
      <c r="F110" s="5" t="s">
        <v>176</v>
      </c>
      <c r="G110" s="56"/>
      <c r="H110" s="57"/>
      <c r="I110" s="57"/>
      <c r="J110" s="57"/>
      <c r="K110" s="57"/>
      <c r="L110" s="57"/>
      <c r="M110" s="57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</sheetData>
  <sheetProtection algorithmName="SHA-512" hashValue="4Sij79N2NhwtYfodS4nwpyYEw/BhCA73m7SOkQrLCGzWQgx7axk5KiEQw9UadBv7ItnvD2U8qLSwJTwRsW/OvQ==" saltValue="R/4TfqwPE3VEsXgMMRmW2A==" spinCount="100000" sheet="1" objects="1" scenarios="1"/>
  <mergeCells count="191">
    <mergeCell ref="G5:H5"/>
    <mergeCell ref="B10:L10"/>
    <mergeCell ref="G14:H14"/>
    <mergeCell ref="B7:D7"/>
    <mergeCell ref="H91:J91"/>
    <mergeCell ref="F67:G67"/>
    <mergeCell ref="I46:K46"/>
    <mergeCell ref="F82:G82"/>
    <mergeCell ref="F60:G60"/>
    <mergeCell ref="I12:L12"/>
    <mergeCell ref="B18:D18"/>
    <mergeCell ref="B36:C36"/>
    <mergeCell ref="B50:C50"/>
    <mergeCell ref="B58:M58"/>
    <mergeCell ref="H74:J74"/>
    <mergeCell ref="H68:J68"/>
    <mergeCell ref="H83:J83"/>
    <mergeCell ref="E21:F21"/>
    <mergeCell ref="B2:E2"/>
    <mergeCell ref="F93:G93"/>
    <mergeCell ref="H82:J82"/>
    <mergeCell ref="B107:E107"/>
    <mergeCell ref="H63:J63"/>
    <mergeCell ref="B30:C30"/>
    <mergeCell ref="F92:G92"/>
    <mergeCell ref="E7:F7"/>
    <mergeCell ref="I21:L21"/>
    <mergeCell ref="H102:J102"/>
    <mergeCell ref="B12:D12"/>
    <mergeCell ref="B77:M77"/>
    <mergeCell ref="I41:K41"/>
    <mergeCell ref="B4:L4"/>
    <mergeCell ref="F69:G69"/>
    <mergeCell ref="B47:C47"/>
    <mergeCell ref="H85:J85"/>
    <mergeCell ref="I8:L8"/>
    <mergeCell ref="F65:G65"/>
    <mergeCell ref="B46:C46"/>
    <mergeCell ref="I43:K43"/>
    <mergeCell ref="G8:H8"/>
    <mergeCell ref="E17:F17"/>
    <mergeCell ref="G17:H17"/>
    <mergeCell ref="E6:F6"/>
    <mergeCell ref="H24:J24"/>
    <mergeCell ref="B105:E105"/>
    <mergeCell ref="E15:F15"/>
    <mergeCell ref="G15:H15"/>
    <mergeCell ref="B34:C34"/>
    <mergeCell ref="B28:C28"/>
    <mergeCell ref="C100:F100"/>
    <mergeCell ref="I40:K40"/>
    <mergeCell ref="B48:C48"/>
    <mergeCell ref="I42:K42"/>
    <mergeCell ref="H72:J72"/>
    <mergeCell ref="H80:J80"/>
    <mergeCell ref="E19:F19"/>
    <mergeCell ref="G19:H19"/>
    <mergeCell ref="G6:H6"/>
    <mergeCell ref="H96:J96"/>
    <mergeCell ref="B15:D15"/>
    <mergeCell ref="I44:K44"/>
    <mergeCell ref="E9:F9"/>
    <mergeCell ref="F97:G97"/>
    <mergeCell ref="B95:M95"/>
    <mergeCell ref="H62:J62"/>
    <mergeCell ref="F90:G90"/>
    <mergeCell ref="I9:L9"/>
    <mergeCell ref="H90:J90"/>
    <mergeCell ref="I52:K52"/>
    <mergeCell ref="H65:J65"/>
    <mergeCell ref="B42:C42"/>
    <mergeCell ref="I48:K48"/>
    <mergeCell ref="E13:F13"/>
    <mergeCell ref="G13:H13"/>
    <mergeCell ref="I11:L11"/>
    <mergeCell ref="H71:J71"/>
    <mergeCell ref="B44:C44"/>
    <mergeCell ref="E11:F11"/>
    <mergeCell ref="I1:K1"/>
    <mergeCell ref="B9:D9"/>
    <mergeCell ref="I6:L6"/>
    <mergeCell ref="F85:G85"/>
    <mergeCell ref="I15:L15"/>
    <mergeCell ref="G108:M108"/>
    <mergeCell ref="H101:J101"/>
    <mergeCell ref="F66:G66"/>
    <mergeCell ref="B53:C53"/>
    <mergeCell ref="F75:G75"/>
    <mergeCell ref="B5:D5"/>
    <mergeCell ref="F62:G62"/>
    <mergeCell ref="B29:C29"/>
    <mergeCell ref="B37:C37"/>
    <mergeCell ref="I7:L7"/>
    <mergeCell ref="H67:J67"/>
    <mergeCell ref="F61:G61"/>
    <mergeCell ref="B21:D21"/>
    <mergeCell ref="G9:H9"/>
    <mergeCell ref="E18:F18"/>
    <mergeCell ref="H59:J59"/>
    <mergeCell ref="F64:G64"/>
    <mergeCell ref="B39:M39"/>
    <mergeCell ref="F73:G73"/>
    <mergeCell ref="E5:F5"/>
    <mergeCell ref="B104:E104"/>
    <mergeCell ref="E14:F14"/>
    <mergeCell ref="B88:M88"/>
    <mergeCell ref="B27:C27"/>
    <mergeCell ref="F74:G74"/>
    <mergeCell ref="F83:G83"/>
    <mergeCell ref="I13:L13"/>
    <mergeCell ref="B19:D19"/>
    <mergeCell ref="G7:H7"/>
    <mergeCell ref="B54:C54"/>
    <mergeCell ref="B14:D14"/>
    <mergeCell ref="I17:L17"/>
    <mergeCell ref="H89:J89"/>
    <mergeCell ref="H98:J98"/>
    <mergeCell ref="I5:L5"/>
    <mergeCell ref="G11:H11"/>
    <mergeCell ref="H79:J79"/>
    <mergeCell ref="I53:K53"/>
    <mergeCell ref="H61:J61"/>
    <mergeCell ref="B13:D13"/>
    <mergeCell ref="H70:J70"/>
    <mergeCell ref="B56:C56"/>
    <mergeCell ref="I19:L19"/>
    <mergeCell ref="B6:D6"/>
    <mergeCell ref="F79:G79"/>
    <mergeCell ref="H86:J86"/>
    <mergeCell ref="B20:D20"/>
    <mergeCell ref="H2:L2"/>
    <mergeCell ref="I50:K50"/>
    <mergeCell ref="F72:G72"/>
    <mergeCell ref="H92:J92"/>
    <mergeCell ref="F81:G81"/>
    <mergeCell ref="B40:C40"/>
    <mergeCell ref="F71:G71"/>
    <mergeCell ref="H78:J78"/>
    <mergeCell ref="B49:C49"/>
    <mergeCell ref="B55:C55"/>
    <mergeCell ref="I49:K49"/>
    <mergeCell ref="G20:H20"/>
    <mergeCell ref="I18:L18"/>
    <mergeCell ref="B33:C33"/>
    <mergeCell ref="B32:C32"/>
    <mergeCell ref="B26:C26"/>
    <mergeCell ref="B41:C41"/>
    <mergeCell ref="B35:C35"/>
    <mergeCell ref="H64:J64"/>
    <mergeCell ref="H73:J73"/>
    <mergeCell ref="E8:F8"/>
    <mergeCell ref="B110:E110"/>
    <mergeCell ref="H84:J84"/>
    <mergeCell ref="H66:J66"/>
    <mergeCell ref="F86:G86"/>
    <mergeCell ref="H75:J75"/>
    <mergeCell ref="F80:G80"/>
    <mergeCell ref="G18:H18"/>
    <mergeCell ref="F70:G70"/>
    <mergeCell ref="H97:J97"/>
    <mergeCell ref="F98:G98"/>
    <mergeCell ref="E12:F12"/>
    <mergeCell ref="I47:K47"/>
    <mergeCell ref="G12:H12"/>
    <mergeCell ref="H60:J60"/>
    <mergeCell ref="B25:C25"/>
    <mergeCell ref="B8:D8"/>
    <mergeCell ref="F63:G63"/>
    <mergeCell ref="B17:D17"/>
    <mergeCell ref="I20:L20"/>
    <mergeCell ref="B106:E106"/>
    <mergeCell ref="B43:C43"/>
    <mergeCell ref="B52:C52"/>
    <mergeCell ref="I55:K55"/>
    <mergeCell ref="G21:H21"/>
    <mergeCell ref="I14:L14"/>
    <mergeCell ref="B11:D11"/>
    <mergeCell ref="I54:K54"/>
    <mergeCell ref="G110:M110"/>
    <mergeCell ref="F68:G68"/>
    <mergeCell ref="I56:K56"/>
    <mergeCell ref="B31:C31"/>
    <mergeCell ref="F84:G84"/>
    <mergeCell ref="H100:J100"/>
    <mergeCell ref="H69:J69"/>
    <mergeCell ref="E20:F20"/>
    <mergeCell ref="H81:J81"/>
    <mergeCell ref="F91:G91"/>
    <mergeCell ref="G107:M107"/>
    <mergeCell ref="B108:E108"/>
    <mergeCell ref="H93:J93"/>
  </mergeCells>
  <dataValidations count="4">
    <dataValidation type="whole" allowBlank="1" showInputMessage="1" showErrorMessage="1" sqref="D41:D44 D47:D50 D53:D56 F41:F44 F47:F50 F53:F56 H41:H44 H47:H50 H53:H56 L41:L44 L47:L50 L53:L56" xr:uid="{00000000-0002-0000-0000-000000000000}">
      <formula1>1</formula1>
      <formula2>4</formula2>
    </dataValidation>
    <dataValidation type="list" allowBlank="1" showInputMessage="1" showErrorMessage="1" sqref="C60:C75 C79:C86 C90:C93 C97:C98 E60:E75 E79:E86 E90:E93 E97:E98 H60:J75 H79:J86 H90:J93 H97:J98 H101:J102" xr:uid="{00000000-0002-0000-0000-000001000000}">
      <formula1>$O$5:$O$52</formula1>
    </dataValidation>
    <dataValidation type="whole" allowBlank="1" showInputMessage="1" showErrorMessage="1" sqref="F104:F108" xr:uid="{00000000-0002-0000-0000-000002000000}">
      <formula1>0</formula1>
      <formula2>1000000</formula2>
    </dataValidation>
    <dataValidation type="whole" allowBlank="1" showInputMessage="1" showErrorMessage="1" sqref="H25:H37 J25:J37" xr:uid="{00000000-0002-0000-0000-000003000000}">
      <formula1>0</formula1>
      <formula2>500</formula2>
    </dataValidation>
  </dataValidations>
  <pageMargins left="0.6692913385826772" right="0.27559055118110237" top="0.74803149606299213" bottom="0.19685039370078741" header="0.31496062992125978" footer="0.15748031496062989"/>
  <pageSetup paperSize="9" scale="6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Potjes, Annelies</dc:creator>
  <cp:lastModifiedBy>Annelies Potjes</cp:lastModifiedBy>
  <dcterms:created xsi:type="dcterms:W3CDTF">2026-06-08T08:14:08Z</dcterms:created>
  <dcterms:modified xsi:type="dcterms:W3CDTF">2026-06-08T08:16:20Z</dcterms:modified>
</cp:coreProperties>
</file>